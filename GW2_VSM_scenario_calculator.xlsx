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rdue0-my.sharepoint.com/personal/pmort_purdue_edu/Documents/Documents/_Purdue/_MSE 535 LeanMfg/Assignments/2026/"/>
    </mc:Choice>
  </mc:AlternateContent>
  <xr:revisionPtr revIDLastSave="0" documentId="8_{C8244EC0-F2AA-45A2-B843-C06C137AA3C5}" xr6:coauthVersionLast="47" xr6:coauthVersionMax="47" xr10:uidLastSave="{00000000-0000-0000-0000-000000000000}"/>
  <bookViews>
    <workbookView xWindow="26520" yWindow="-4596" windowWidth="23040" windowHeight="12120" activeTab="1" xr2:uid="{8AB2F828-7E2D-47B3-9120-06FFC014BFB2}"/>
  </bookViews>
  <sheets>
    <sheet name="Parameters" sheetId="3" r:id="rId1"/>
    <sheet name="options" sheetId="11" r:id="rId2"/>
  </sheets>
  <definedNames>
    <definedName name="avail_s_per_shift">Parameters!$B$14</definedName>
    <definedName name="clay_bodies">Parameters!$B$7</definedName>
    <definedName name="glazes">Parameters!$B$9</definedName>
    <definedName name="GranuleSiloCap">Parameters!$B$4</definedName>
    <definedName name="gross_case_mass_kg">Parameters!$B$12</definedName>
    <definedName name="product_variations">Parameters!$B$10</definedName>
    <definedName name="solver_adj" localSheetId="1" hidden="1">options!#REF!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options!#REF!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3</definedName>
    <definedName name="solver_val" localSheetId="1" hidden="1">5000</definedName>
    <definedName name="solver_ver" localSheetId="1" hidden="1">3</definedName>
    <definedName name="tile_mass_g">Parameters!$B$6</definedName>
    <definedName name="tile_styles">Parameters!$B$8</definedName>
    <definedName name="tiles_per_case">Parameters!$B$11</definedName>
    <definedName name="truck_ship_MT">Parameters!$B$15</definedName>
    <definedName name="work_weeks">Parameters!$B$13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1" l="1"/>
  <c r="B10" i="3"/>
  <c r="E62" i="3"/>
  <c r="F62" i="3"/>
  <c r="E63" i="3"/>
  <c r="F63" i="3"/>
  <c r="E64" i="3"/>
  <c r="F64" i="3"/>
  <c r="E65" i="3"/>
  <c r="F65" i="3"/>
  <c r="E66" i="3"/>
  <c r="F66" i="3"/>
  <c r="E67" i="3"/>
  <c r="F67" i="3"/>
  <c r="E68" i="3"/>
  <c r="F68" i="3"/>
  <c r="E69" i="3"/>
  <c r="F69" i="3"/>
  <c r="E70" i="3"/>
  <c r="F70" i="3"/>
  <c r="E71" i="3"/>
  <c r="F71" i="3"/>
  <c r="E72" i="3"/>
  <c r="F72" i="3"/>
  <c r="E73" i="3"/>
  <c r="F73" i="3"/>
  <c r="E74" i="3"/>
  <c r="F74" i="3"/>
  <c r="E75" i="3"/>
  <c r="F75" i="3"/>
  <c r="E76" i="3"/>
  <c r="F76" i="3"/>
  <c r="E77" i="3"/>
  <c r="F77" i="3"/>
  <c r="E78" i="3"/>
  <c r="F78" i="3"/>
  <c r="E79" i="3"/>
  <c r="F79" i="3"/>
  <c r="E80" i="3"/>
  <c r="F80" i="3"/>
  <c r="E81" i="3"/>
  <c r="F81" i="3"/>
  <c r="E82" i="3"/>
  <c r="F82" i="3"/>
  <c r="E83" i="3"/>
  <c r="F83" i="3"/>
  <c r="E84" i="3"/>
  <c r="F84" i="3"/>
  <c r="E85" i="3"/>
  <c r="F85" i="3"/>
  <c r="E86" i="3"/>
  <c r="F86" i="3"/>
  <c r="E87" i="3"/>
  <c r="F87" i="3"/>
  <c r="E88" i="3"/>
  <c r="F88" i="3"/>
  <c r="E89" i="3"/>
  <c r="F89" i="3"/>
  <c r="E90" i="3"/>
  <c r="F90" i="3"/>
  <c r="E91" i="3"/>
  <c r="F91" i="3"/>
  <c r="E92" i="3"/>
  <c r="F92" i="3"/>
  <c r="E93" i="3"/>
  <c r="F93" i="3"/>
  <c r="E94" i="3"/>
  <c r="F94" i="3"/>
  <c r="E95" i="3"/>
  <c r="F95" i="3"/>
  <c r="E96" i="3"/>
  <c r="F96" i="3"/>
  <c r="E97" i="3"/>
  <c r="F97" i="3"/>
  <c r="E98" i="3"/>
  <c r="F98" i="3"/>
  <c r="E99" i="3"/>
  <c r="F99" i="3"/>
  <c r="E100" i="3"/>
  <c r="F100" i="3"/>
  <c r="E101" i="3"/>
  <c r="F101" i="3"/>
  <c r="E102" i="3"/>
  <c r="F102" i="3"/>
  <c r="E103" i="3"/>
  <c r="F103" i="3"/>
  <c r="E104" i="3"/>
  <c r="F104" i="3"/>
  <c r="E105" i="3"/>
  <c r="F105" i="3"/>
  <c r="E106" i="3"/>
  <c r="F106" i="3"/>
  <c r="E107" i="3"/>
  <c r="F107" i="3"/>
  <c r="E108" i="3"/>
  <c r="F108" i="3"/>
  <c r="E109" i="3"/>
  <c r="F109" i="3"/>
  <c r="E110" i="3"/>
  <c r="F110" i="3"/>
  <c r="E111" i="3"/>
  <c r="F111" i="3"/>
  <c r="E112" i="3"/>
  <c r="F112" i="3"/>
  <c r="E113" i="3"/>
  <c r="F113" i="3"/>
  <c r="E114" i="3"/>
  <c r="F114" i="3"/>
  <c r="E115" i="3"/>
  <c r="F115" i="3"/>
  <c r="E116" i="3"/>
  <c r="F116" i="3"/>
  <c r="E117" i="3"/>
  <c r="F117" i="3"/>
  <c r="E118" i="3"/>
  <c r="F118" i="3"/>
  <c r="E119" i="3"/>
  <c r="F119" i="3"/>
  <c r="E120" i="3"/>
  <c r="F120" i="3"/>
  <c r="E121" i="3"/>
  <c r="F121" i="3"/>
  <c r="E122" i="3"/>
  <c r="F122" i="3"/>
  <c r="E123" i="3"/>
  <c r="F123" i="3"/>
  <c r="E124" i="3"/>
  <c r="F124" i="3"/>
  <c r="E125" i="3"/>
  <c r="F125" i="3"/>
  <c r="E126" i="3"/>
  <c r="F126" i="3"/>
  <c r="E127" i="3"/>
  <c r="F127" i="3"/>
  <c r="E128" i="3"/>
  <c r="F128" i="3"/>
  <c r="E129" i="3"/>
  <c r="F129" i="3"/>
  <c r="E130" i="3"/>
  <c r="F130" i="3"/>
  <c r="E131" i="3"/>
  <c r="F131" i="3"/>
  <c r="E132" i="3"/>
  <c r="F132" i="3"/>
  <c r="E133" i="3"/>
  <c r="F133" i="3"/>
  <c r="E134" i="3"/>
  <c r="F134" i="3"/>
  <c r="E135" i="3"/>
  <c r="F135" i="3"/>
  <c r="E136" i="3"/>
  <c r="F136" i="3"/>
  <c r="E137" i="3"/>
  <c r="F137" i="3"/>
  <c r="E138" i="3"/>
  <c r="F138" i="3"/>
  <c r="E139" i="3"/>
  <c r="F139" i="3"/>
  <c r="E140" i="3"/>
  <c r="F140" i="3"/>
  <c r="E141" i="3"/>
  <c r="F141" i="3"/>
  <c r="E142" i="3"/>
  <c r="F142" i="3"/>
  <c r="E143" i="3"/>
  <c r="F143" i="3"/>
  <c r="E144" i="3"/>
  <c r="F144" i="3"/>
  <c r="E145" i="3"/>
  <c r="F145" i="3"/>
  <c r="E146" i="3"/>
  <c r="F146" i="3"/>
  <c r="E147" i="3"/>
  <c r="F147" i="3"/>
  <c r="E148" i="3"/>
  <c r="F148" i="3"/>
  <c r="E149" i="3"/>
  <c r="F149" i="3"/>
  <c r="E150" i="3"/>
  <c r="F150" i="3"/>
  <c r="E151" i="3"/>
  <c r="F151" i="3"/>
  <c r="E152" i="3"/>
  <c r="F152" i="3"/>
  <c r="E153" i="3"/>
  <c r="F153" i="3"/>
  <c r="E154" i="3"/>
  <c r="F154" i="3"/>
  <c r="E155" i="3"/>
  <c r="F155" i="3"/>
  <c r="E156" i="3"/>
  <c r="F156" i="3"/>
  <c r="E157" i="3"/>
  <c r="F157" i="3"/>
  <c r="E158" i="3"/>
  <c r="F158" i="3"/>
  <c r="E159" i="3"/>
  <c r="F159" i="3"/>
  <c r="E160" i="3"/>
  <c r="F160" i="3"/>
  <c r="E161" i="3"/>
  <c r="F161" i="3"/>
  <c r="E162" i="3"/>
  <c r="F162" i="3"/>
  <c r="E163" i="3"/>
  <c r="F163" i="3"/>
  <c r="E164" i="3"/>
  <c r="F164" i="3"/>
  <c r="E165" i="3"/>
  <c r="F165" i="3"/>
  <c r="E166" i="3"/>
  <c r="F166" i="3"/>
  <c r="E167" i="3"/>
  <c r="F167" i="3"/>
  <c r="E168" i="3"/>
  <c r="F168" i="3"/>
  <c r="E169" i="3"/>
  <c r="F169" i="3"/>
  <c r="E170" i="3"/>
  <c r="F170" i="3"/>
  <c r="E171" i="3"/>
  <c r="F171" i="3"/>
  <c r="E172" i="3"/>
  <c r="F172" i="3"/>
  <c r="E173" i="3"/>
  <c r="F173" i="3"/>
  <c r="E174" i="3"/>
  <c r="F174" i="3"/>
  <c r="E175" i="3"/>
  <c r="F175" i="3"/>
  <c r="E176" i="3"/>
  <c r="F176" i="3"/>
  <c r="E177" i="3"/>
  <c r="F177" i="3"/>
  <c r="E178" i="3"/>
  <c r="F178" i="3"/>
  <c r="E179" i="3"/>
  <c r="F179" i="3"/>
  <c r="E180" i="3"/>
  <c r="F180" i="3"/>
  <c r="E181" i="3"/>
  <c r="F181" i="3"/>
  <c r="E182" i="3"/>
  <c r="F182" i="3"/>
  <c r="E183" i="3"/>
  <c r="F183" i="3"/>
  <c r="E184" i="3"/>
  <c r="F184" i="3"/>
  <c r="E185" i="3"/>
  <c r="F185" i="3"/>
  <c r="E186" i="3"/>
  <c r="F186" i="3"/>
  <c r="E187" i="3"/>
  <c r="F187" i="3"/>
  <c r="E188" i="3"/>
  <c r="F188" i="3"/>
  <c r="E189" i="3"/>
  <c r="F189" i="3"/>
  <c r="E190" i="3"/>
  <c r="F190" i="3"/>
  <c r="E191" i="3"/>
  <c r="F191" i="3"/>
  <c r="E192" i="3"/>
  <c r="F192" i="3"/>
  <c r="E193" i="3"/>
  <c r="F193" i="3"/>
  <c r="E194" i="3"/>
  <c r="F194" i="3"/>
  <c r="E195" i="3"/>
  <c r="F195" i="3"/>
  <c r="E196" i="3"/>
  <c r="F196" i="3"/>
  <c r="E197" i="3"/>
  <c r="F197" i="3"/>
  <c r="E198" i="3"/>
  <c r="F198" i="3"/>
  <c r="E199" i="3"/>
  <c r="F199" i="3"/>
  <c r="E200" i="3"/>
  <c r="F200" i="3"/>
  <c r="E201" i="3"/>
  <c r="F201" i="3"/>
  <c r="E202" i="3"/>
  <c r="F202" i="3"/>
  <c r="E203" i="3"/>
  <c r="F203" i="3"/>
  <c r="E204" i="3"/>
  <c r="F204" i="3"/>
  <c r="E205" i="3"/>
  <c r="F205" i="3"/>
  <c r="E206" i="3"/>
  <c r="F206" i="3"/>
  <c r="E207" i="3"/>
  <c r="F207" i="3"/>
  <c r="E208" i="3"/>
  <c r="F208" i="3"/>
  <c r="E209" i="3"/>
  <c r="F209" i="3"/>
  <c r="E210" i="3"/>
  <c r="F210" i="3"/>
  <c r="E211" i="3"/>
  <c r="F211" i="3"/>
  <c r="E212" i="3"/>
  <c r="F212" i="3"/>
  <c r="E213" i="3"/>
  <c r="F213" i="3"/>
  <c r="E214" i="3"/>
  <c r="F214" i="3"/>
  <c r="E215" i="3"/>
  <c r="F215" i="3"/>
  <c r="E216" i="3"/>
  <c r="F216" i="3"/>
  <c r="E217" i="3"/>
  <c r="F217" i="3"/>
  <c r="E218" i="3"/>
  <c r="F218" i="3"/>
  <c r="E219" i="3"/>
  <c r="F219" i="3"/>
  <c r="E220" i="3"/>
  <c r="F220" i="3"/>
  <c r="E221" i="3"/>
  <c r="F221" i="3"/>
  <c r="E222" i="3"/>
  <c r="F222" i="3"/>
  <c r="E223" i="3"/>
  <c r="F223" i="3"/>
  <c r="E224" i="3"/>
  <c r="F224" i="3"/>
  <c r="E225" i="3"/>
  <c r="F225" i="3"/>
  <c r="E226" i="3"/>
  <c r="F226" i="3"/>
  <c r="E227" i="3"/>
  <c r="F227" i="3"/>
  <c r="E228" i="3"/>
  <c r="F228" i="3"/>
  <c r="E229" i="3"/>
  <c r="F229" i="3"/>
  <c r="E230" i="3"/>
  <c r="F230" i="3"/>
  <c r="E231" i="3"/>
  <c r="F231" i="3"/>
  <c r="E232" i="3"/>
  <c r="F232" i="3"/>
  <c r="E233" i="3"/>
  <c r="F233" i="3"/>
  <c r="E234" i="3"/>
  <c r="F234" i="3"/>
  <c r="E235" i="3"/>
  <c r="F235" i="3"/>
  <c r="E236" i="3"/>
  <c r="F236" i="3"/>
  <c r="E237" i="3"/>
  <c r="F237" i="3"/>
  <c r="E238" i="3"/>
  <c r="F238" i="3"/>
  <c r="E239" i="3"/>
  <c r="F239" i="3"/>
  <c r="E240" i="3"/>
  <c r="F240" i="3"/>
  <c r="E241" i="3"/>
  <c r="F241" i="3"/>
  <c r="E242" i="3"/>
  <c r="F242" i="3"/>
  <c r="E243" i="3"/>
  <c r="F243" i="3"/>
  <c r="E244" i="3"/>
  <c r="F244" i="3"/>
  <c r="E245" i="3"/>
  <c r="F245" i="3"/>
  <c r="E246" i="3"/>
  <c r="F246" i="3"/>
  <c r="E247" i="3"/>
  <c r="F247" i="3"/>
  <c r="E248" i="3"/>
  <c r="F248" i="3"/>
  <c r="E249" i="3"/>
  <c r="F249" i="3"/>
  <c r="E250" i="3"/>
  <c r="F250" i="3"/>
  <c r="E251" i="3"/>
  <c r="F251" i="3"/>
  <c r="E252" i="3"/>
  <c r="F252" i="3"/>
  <c r="E253" i="3"/>
  <c r="F253" i="3"/>
  <c r="E254" i="3"/>
  <c r="F254" i="3"/>
  <c r="E255" i="3"/>
  <c r="F255" i="3"/>
  <c r="E256" i="3"/>
  <c r="F256" i="3"/>
  <c r="E257" i="3"/>
  <c r="F257" i="3"/>
  <c r="E258" i="3"/>
  <c r="F258" i="3"/>
  <c r="E259" i="3"/>
  <c r="F259" i="3"/>
  <c r="E260" i="3"/>
  <c r="F260" i="3"/>
  <c r="E261" i="3"/>
  <c r="F261" i="3"/>
  <c r="E262" i="3"/>
  <c r="F262" i="3"/>
  <c r="E263" i="3"/>
  <c r="F263" i="3"/>
  <c r="E264" i="3"/>
  <c r="F264" i="3"/>
  <c r="E265" i="3"/>
  <c r="F265" i="3"/>
  <c r="E266" i="3"/>
  <c r="F266" i="3"/>
  <c r="E267" i="3"/>
  <c r="F267" i="3"/>
  <c r="E268" i="3"/>
  <c r="F268" i="3"/>
  <c r="E269" i="3"/>
  <c r="F269" i="3"/>
  <c r="E270" i="3"/>
  <c r="F270" i="3"/>
  <c r="E271" i="3"/>
  <c r="F271" i="3"/>
  <c r="E272" i="3"/>
  <c r="F272" i="3"/>
  <c r="E273" i="3"/>
  <c r="F273" i="3"/>
  <c r="E274" i="3"/>
  <c r="F274" i="3"/>
  <c r="E275" i="3"/>
  <c r="F275" i="3"/>
  <c r="E276" i="3"/>
  <c r="F276" i="3"/>
  <c r="E277" i="3"/>
  <c r="F277" i="3"/>
  <c r="E278" i="3"/>
  <c r="F278" i="3"/>
  <c r="E279" i="3"/>
  <c r="F279" i="3"/>
  <c r="E280" i="3"/>
  <c r="F280" i="3"/>
  <c r="E281" i="3"/>
  <c r="F281" i="3"/>
  <c r="E282" i="3"/>
  <c r="F282" i="3"/>
  <c r="E283" i="3"/>
  <c r="F283" i="3"/>
  <c r="E284" i="3"/>
  <c r="F284" i="3"/>
  <c r="E285" i="3"/>
  <c r="F285" i="3"/>
  <c r="E286" i="3"/>
  <c r="F286" i="3"/>
  <c r="E287" i="3"/>
  <c r="F287" i="3"/>
  <c r="E288" i="3"/>
  <c r="F288" i="3"/>
  <c r="E289" i="3"/>
  <c r="F289" i="3"/>
  <c r="E290" i="3"/>
  <c r="F290" i="3"/>
  <c r="E291" i="3"/>
  <c r="F291" i="3"/>
  <c r="E292" i="3"/>
  <c r="F292" i="3"/>
  <c r="E293" i="3"/>
  <c r="F293" i="3"/>
  <c r="E294" i="3"/>
  <c r="F294" i="3"/>
  <c r="E295" i="3"/>
  <c r="F295" i="3"/>
  <c r="E296" i="3"/>
  <c r="F296" i="3"/>
  <c r="E297" i="3"/>
  <c r="F297" i="3"/>
  <c r="E298" i="3"/>
  <c r="F298" i="3"/>
  <c r="E299" i="3"/>
  <c r="F299" i="3"/>
  <c r="E300" i="3"/>
  <c r="F300" i="3"/>
  <c r="E301" i="3"/>
  <c r="F301" i="3"/>
  <c r="E302" i="3"/>
  <c r="F302" i="3"/>
  <c r="E303" i="3"/>
  <c r="F303" i="3"/>
  <c r="E304" i="3"/>
  <c r="F304" i="3"/>
  <c r="E305" i="3"/>
  <c r="F305" i="3"/>
  <c r="E306" i="3"/>
  <c r="F306" i="3"/>
  <c r="E307" i="3"/>
  <c r="F307" i="3"/>
  <c r="E308" i="3"/>
  <c r="F308" i="3"/>
  <c r="E309" i="3"/>
  <c r="F309" i="3"/>
  <c r="E310" i="3"/>
  <c r="F310" i="3"/>
  <c r="E311" i="3"/>
  <c r="F311" i="3"/>
  <c r="E312" i="3"/>
  <c r="F312" i="3"/>
  <c r="E313" i="3"/>
  <c r="F313" i="3"/>
  <c r="E314" i="3"/>
  <c r="F314" i="3"/>
  <c r="E315" i="3"/>
  <c r="F315" i="3"/>
  <c r="E316" i="3"/>
  <c r="F316" i="3"/>
  <c r="E317" i="3"/>
  <c r="F317" i="3"/>
  <c r="E318" i="3"/>
  <c r="F318" i="3"/>
  <c r="E319" i="3"/>
  <c r="F319" i="3"/>
  <c r="E320" i="3"/>
  <c r="F320" i="3"/>
  <c r="E321" i="3"/>
  <c r="F321" i="3"/>
  <c r="E322" i="3"/>
  <c r="F322" i="3"/>
  <c r="E323" i="3"/>
  <c r="F323" i="3"/>
  <c r="E324" i="3"/>
  <c r="F324" i="3"/>
  <c r="E325" i="3"/>
  <c r="F325" i="3"/>
  <c r="E326" i="3"/>
  <c r="F326" i="3"/>
  <c r="E327" i="3"/>
  <c r="F327" i="3"/>
  <c r="E328" i="3"/>
  <c r="F328" i="3"/>
  <c r="E329" i="3"/>
  <c r="F329" i="3"/>
  <c r="E330" i="3"/>
  <c r="F330" i="3"/>
  <c r="E331" i="3"/>
  <c r="F331" i="3"/>
  <c r="E332" i="3"/>
  <c r="F332" i="3"/>
  <c r="E333" i="3"/>
  <c r="F333" i="3"/>
  <c r="E334" i="3"/>
  <c r="F334" i="3"/>
  <c r="E335" i="3"/>
  <c r="F335" i="3"/>
  <c r="E336" i="3"/>
  <c r="F336" i="3"/>
  <c r="E337" i="3"/>
  <c r="F337" i="3"/>
  <c r="E338" i="3"/>
  <c r="F338" i="3"/>
  <c r="E339" i="3"/>
  <c r="F339" i="3"/>
  <c r="E340" i="3"/>
  <c r="F340" i="3"/>
  <c r="E341" i="3"/>
  <c r="F341" i="3"/>
  <c r="E342" i="3"/>
  <c r="F342" i="3"/>
  <c r="E343" i="3"/>
  <c r="F343" i="3"/>
  <c r="E344" i="3"/>
  <c r="F344" i="3"/>
  <c r="E345" i="3"/>
  <c r="F345" i="3"/>
  <c r="E346" i="3"/>
  <c r="F346" i="3"/>
  <c r="E347" i="3"/>
  <c r="F347" i="3"/>
  <c r="E348" i="3"/>
  <c r="F348" i="3"/>
  <c r="E349" i="3"/>
  <c r="F349" i="3"/>
  <c r="E350" i="3"/>
  <c r="F350" i="3"/>
  <c r="E351" i="3"/>
  <c r="F351" i="3"/>
  <c r="E352" i="3"/>
  <c r="F352" i="3"/>
  <c r="E353" i="3"/>
  <c r="F353" i="3"/>
  <c r="E354" i="3"/>
  <c r="F354" i="3"/>
  <c r="E355" i="3"/>
  <c r="F355" i="3"/>
  <c r="E356" i="3"/>
  <c r="F356" i="3"/>
  <c r="E357" i="3"/>
  <c r="F357" i="3"/>
  <c r="E358" i="3"/>
  <c r="F358" i="3"/>
  <c r="E359" i="3"/>
  <c r="F359" i="3"/>
  <c r="E360" i="3"/>
  <c r="F360" i="3"/>
  <c r="E361" i="3"/>
  <c r="F361" i="3"/>
  <c r="E362" i="3"/>
  <c r="F362" i="3"/>
  <c r="E363" i="3"/>
  <c r="F363" i="3"/>
  <c r="E364" i="3"/>
  <c r="F364" i="3"/>
  <c r="E365" i="3"/>
  <c r="F365" i="3"/>
  <c r="E366" i="3"/>
  <c r="F366" i="3"/>
  <c r="E367" i="3"/>
  <c r="F367" i="3"/>
  <c r="E368" i="3"/>
  <c r="F368" i="3"/>
  <c r="E369" i="3"/>
  <c r="F369" i="3"/>
  <c r="E370" i="3"/>
  <c r="F370" i="3"/>
  <c r="E371" i="3"/>
  <c r="F371" i="3"/>
  <c r="E372" i="3"/>
  <c r="F372" i="3"/>
  <c r="E373" i="3"/>
  <c r="F373" i="3"/>
  <c r="E374" i="3"/>
  <c r="F374" i="3"/>
  <c r="E375" i="3"/>
  <c r="F375" i="3"/>
  <c r="E376" i="3"/>
  <c r="F376" i="3"/>
  <c r="E377" i="3"/>
  <c r="F377" i="3"/>
  <c r="E378" i="3"/>
  <c r="F378" i="3"/>
  <c r="E379" i="3"/>
  <c r="F379" i="3"/>
  <c r="E380" i="3"/>
  <c r="F380" i="3"/>
  <c r="E381" i="3"/>
  <c r="F381" i="3"/>
  <c r="E382" i="3"/>
  <c r="F382" i="3"/>
  <c r="E383" i="3"/>
  <c r="F383" i="3"/>
  <c r="E384" i="3"/>
  <c r="F384" i="3"/>
  <c r="E385" i="3"/>
  <c r="F385" i="3"/>
  <c r="E386" i="3"/>
  <c r="F386" i="3"/>
  <c r="E387" i="3"/>
  <c r="F387" i="3"/>
  <c r="E388" i="3"/>
  <c r="F388" i="3"/>
  <c r="E389" i="3"/>
  <c r="F389" i="3"/>
  <c r="E390" i="3"/>
  <c r="F390" i="3"/>
  <c r="E391" i="3"/>
  <c r="F391" i="3"/>
  <c r="E392" i="3"/>
  <c r="F392" i="3"/>
  <c r="E393" i="3"/>
  <c r="F393" i="3"/>
  <c r="E23" i="3"/>
  <c r="F23" i="3"/>
  <c r="E24" i="3"/>
  <c r="F24" i="3"/>
  <c r="E25" i="3"/>
  <c r="F25" i="3"/>
  <c r="E26" i="3"/>
  <c r="F26" i="3"/>
  <c r="E27" i="3"/>
  <c r="F27" i="3"/>
  <c r="E28" i="3"/>
  <c r="F28" i="3"/>
  <c r="E29" i="3"/>
  <c r="F29" i="3"/>
  <c r="E30" i="3"/>
  <c r="F30" i="3"/>
  <c r="E31" i="3"/>
  <c r="F31" i="3"/>
  <c r="E32" i="3"/>
  <c r="F32" i="3"/>
  <c r="E33" i="3"/>
  <c r="F33" i="3"/>
  <c r="E34" i="3"/>
  <c r="F34" i="3"/>
  <c r="E35" i="3"/>
  <c r="F35" i="3"/>
  <c r="E36" i="3"/>
  <c r="F36" i="3"/>
  <c r="E37" i="3"/>
  <c r="F37" i="3"/>
  <c r="E38" i="3"/>
  <c r="F38" i="3"/>
  <c r="E39" i="3"/>
  <c r="F39" i="3"/>
  <c r="E40" i="3"/>
  <c r="F40" i="3"/>
  <c r="E41" i="3"/>
  <c r="F41" i="3"/>
  <c r="E42" i="3"/>
  <c r="F42" i="3"/>
  <c r="E43" i="3"/>
  <c r="F43" i="3"/>
  <c r="E44" i="3"/>
  <c r="F44" i="3"/>
  <c r="E45" i="3"/>
  <c r="F45" i="3"/>
  <c r="E46" i="3"/>
  <c r="F46" i="3"/>
  <c r="E47" i="3"/>
  <c r="F47" i="3"/>
  <c r="E48" i="3"/>
  <c r="F48" i="3"/>
  <c r="E49" i="3"/>
  <c r="F49" i="3"/>
  <c r="E50" i="3"/>
  <c r="F50" i="3"/>
  <c r="E51" i="3"/>
  <c r="F51" i="3"/>
  <c r="E52" i="3"/>
  <c r="F52" i="3"/>
  <c r="E53" i="3"/>
  <c r="F53" i="3"/>
  <c r="E54" i="3"/>
  <c r="F54" i="3"/>
  <c r="E55" i="3"/>
  <c r="F55" i="3"/>
  <c r="E56" i="3"/>
  <c r="F56" i="3"/>
  <c r="E57" i="3"/>
  <c r="F57" i="3"/>
  <c r="E58" i="3"/>
  <c r="F58" i="3"/>
  <c r="E59" i="3"/>
  <c r="F59" i="3"/>
  <c r="E60" i="3"/>
  <c r="F60" i="3"/>
  <c r="E61" i="3"/>
  <c r="F61" i="3"/>
  <c r="F22" i="3"/>
  <c r="E22" i="3"/>
  <c r="A23" i="3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B60" i="11"/>
  <c r="B17" i="11"/>
  <c r="B21" i="11"/>
  <c r="B8" i="11"/>
  <c r="G68" i="3" l="1"/>
  <c r="I110" i="3"/>
  <c r="I104" i="3"/>
  <c r="I62" i="3"/>
  <c r="I383" i="3"/>
  <c r="I371" i="3"/>
  <c r="I335" i="3"/>
  <c r="H311" i="3"/>
  <c r="G269" i="3"/>
  <c r="H62" i="3"/>
  <c r="I380" i="3"/>
  <c r="H314" i="3"/>
  <c r="H308" i="3"/>
  <c r="G272" i="3"/>
  <c r="I248" i="3"/>
  <c r="I212" i="3"/>
  <c r="I176" i="3"/>
  <c r="H116" i="3"/>
  <c r="G176" i="3"/>
  <c r="G384" i="3"/>
  <c r="H330" i="3"/>
  <c r="I306" i="3"/>
  <c r="H300" i="3"/>
  <c r="H294" i="3"/>
  <c r="H210" i="3"/>
  <c r="G204" i="3"/>
  <c r="I180" i="3"/>
  <c r="I114" i="3"/>
  <c r="G70" i="3"/>
  <c r="G381" i="3"/>
  <c r="G375" i="3"/>
  <c r="H357" i="3"/>
  <c r="I339" i="3"/>
  <c r="H321" i="3"/>
  <c r="I315" i="3"/>
  <c r="H303" i="3"/>
  <c r="I291" i="3"/>
  <c r="G273" i="3"/>
  <c r="I267" i="3"/>
  <c r="I261" i="3"/>
  <c r="G243" i="3"/>
  <c r="I195" i="3"/>
  <c r="H177" i="3"/>
  <c r="H171" i="3"/>
  <c r="I165" i="3"/>
  <c r="H135" i="3"/>
  <c r="G129" i="3"/>
  <c r="G93" i="3"/>
  <c r="G87" i="3"/>
  <c r="H81" i="3"/>
  <c r="H245" i="3"/>
  <c r="G227" i="3"/>
  <c r="G209" i="3"/>
  <c r="H197" i="3"/>
  <c r="G161" i="3"/>
  <c r="G149" i="3"/>
  <c r="I148" i="3"/>
  <c r="G338" i="3"/>
  <c r="I170" i="3"/>
  <c r="G387" i="3"/>
  <c r="G171" i="3"/>
  <c r="G308" i="3"/>
  <c r="I230" i="3"/>
  <c r="G200" i="3"/>
  <c r="I122" i="3"/>
  <c r="G110" i="3"/>
  <c r="G98" i="3"/>
  <c r="I92" i="3"/>
  <c r="G62" i="3"/>
  <c r="I200" i="3"/>
  <c r="G235" i="3"/>
  <c r="H109" i="3"/>
  <c r="H387" i="3"/>
  <c r="G267" i="3"/>
  <c r="I117" i="3"/>
  <c r="I386" i="3"/>
  <c r="I368" i="3"/>
  <c r="I362" i="3"/>
  <c r="I326" i="3"/>
  <c r="I308" i="3"/>
  <c r="I284" i="3"/>
  <c r="G278" i="3"/>
  <c r="G254" i="3"/>
  <c r="G230" i="3"/>
  <c r="G206" i="3"/>
  <c r="H200" i="3"/>
  <c r="G194" i="3"/>
  <c r="I182" i="3"/>
  <c r="G170" i="3"/>
  <c r="I158" i="3"/>
  <c r="I152" i="3"/>
  <c r="G128" i="3"/>
  <c r="G122" i="3"/>
  <c r="H110" i="3"/>
  <c r="G92" i="3"/>
  <c r="G86" i="3"/>
  <c r="I80" i="3"/>
  <c r="G357" i="3"/>
  <c r="H339" i="3"/>
  <c r="I219" i="3"/>
  <c r="G159" i="3"/>
  <c r="I351" i="3"/>
  <c r="G147" i="3"/>
  <c r="I387" i="3"/>
  <c r="H350" i="3"/>
  <c r="I224" i="3"/>
  <c r="I140" i="3"/>
  <c r="H74" i="3"/>
  <c r="I363" i="3"/>
  <c r="I135" i="3"/>
  <c r="I87" i="3"/>
  <c r="G158" i="3"/>
  <c r="H243" i="3"/>
  <c r="I93" i="3"/>
  <c r="G291" i="3"/>
  <c r="H123" i="3"/>
  <c r="G220" i="3"/>
  <c r="H70" i="3"/>
  <c r="I243" i="3"/>
  <c r="G245" i="3"/>
  <c r="G382" i="3"/>
  <c r="I310" i="3"/>
  <c r="H304" i="3"/>
  <c r="H256" i="3"/>
  <c r="I214" i="3"/>
  <c r="H166" i="3"/>
  <c r="G148" i="3"/>
  <c r="H136" i="3"/>
  <c r="I124" i="3"/>
  <c r="G94" i="3"/>
  <c r="G76" i="3"/>
  <c r="I375" i="3"/>
  <c r="I321" i="3"/>
  <c r="I273" i="3"/>
  <c r="H153" i="3"/>
  <c r="G111" i="3"/>
  <c r="I81" i="3"/>
  <c r="H375" i="3"/>
  <c r="G321" i="3"/>
  <c r="H374" i="3"/>
  <c r="H236" i="3"/>
  <c r="I234" i="3"/>
  <c r="G303" i="3"/>
  <c r="G261" i="3"/>
  <c r="I225" i="3"/>
  <c r="I189" i="3"/>
  <c r="H159" i="3"/>
  <c r="G135" i="3"/>
  <c r="G105" i="3"/>
  <c r="G75" i="3"/>
  <c r="G189" i="3"/>
  <c r="H392" i="3"/>
  <c r="H386" i="3"/>
  <c r="H380" i="3"/>
  <c r="G374" i="3"/>
  <c r="H368" i="3"/>
  <c r="G362" i="3"/>
  <c r="H356" i="3"/>
  <c r="G350" i="3"/>
  <c r="G344" i="3"/>
  <c r="H338" i="3"/>
  <c r="I332" i="3"/>
  <c r="G326" i="3"/>
  <c r="G320" i="3"/>
  <c r="I314" i="3"/>
  <c r="H302" i="3"/>
  <c r="I296" i="3"/>
  <c r="H290" i="3"/>
  <c r="H284" i="3"/>
  <c r="H278" i="3"/>
  <c r="H272" i="3"/>
  <c r="H266" i="3"/>
  <c r="H260" i="3"/>
  <c r="I254" i="3"/>
  <c r="H248" i="3"/>
  <c r="G242" i="3"/>
  <c r="G236" i="3"/>
  <c r="H230" i="3"/>
  <c r="G224" i="3"/>
  <c r="G218" i="3"/>
  <c r="H212" i="3"/>
  <c r="H206" i="3"/>
  <c r="H194" i="3"/>
  <c r="H188" i="3"/>
  <c r="G182" i="3"/>
  <c r="H176" i="3"/>
  <c r="H170" i="3"/>
  <c r="H164" i="3"/>
  <c r="H158" i="3"/>
  <c r="H152" i="3"/>
  <c r="I146" i="3"/>
  <c r="H140" i="3"/>
  <c r="G134" i="3"/>
  <c r="H128" i="3"/>
  <c r="H122" i="3"/>
  <c r="G116" i="3"/>
  <c r="H104" i="3"/>
  <c r="H98" i="3"/>
  <c r="H92" i="3"/>
  <c r="H86" i="3"/>
  <c r="G80" i="3"/>
  <c r="G74" i="3"/>
  <c r="H68" i="3"/>
  <c r="H204" i="3"/>
  <c r="I304" i="3"/>
  <c r="H235" i="3"/>
  <c r="I294" i="3"/>
  <c r="I388" i="3"/>
  <c r="I256" i="3"/>
  <c r="I238" i="3"/>
  <c r="H261" i="3"/>
  <c r="I159" i="3"/>
  <c r="H105" i="3"/>
  <c r="G368" i="3"/>
  <c r="H326" i="3"/>
  <c r="H296" i="3"/>
  <c r="I128" i="3"/>
  <c r="H295" i="3"/>
  <c r="I300" i="3"/>
  <c r="G210" i="3"/>
  <c r="G380" i="3"/>
  <c r="G356" i="3"/>
  <c r="G296" i="3"/>
  <c r="H148" i="3"/>
  <c r="I218" i="3"/>
  <c r="I164" i="3"/>
  <c r="I98" i="3"/>
  <c r="H80" i="3"/>
  <c r="H228" i="3"/>
  <c r="H180" i="3"/>
  <c r="I209" i="3"/>
  <c r="I266" i="3"/>
  <c r="H242" i="3"/>
  <c r="I350" i="3"/>
  <c r="I236" i="3"/>
  <c r="H218" i="3"/>
  <c r="G188" i="3"/>
  <c r="G164" i="3"/>
  <c r="G146" i="3"/>
  <c r="I116" i="3"/>
  <c r="G217" i="3"/>
  <c r="G109" i="3"/>
  <c r="H384" i="3"/>
  <c r="H288" i="3"/>
  <c r="H240" i="3"/>
  <c r="H222" i="3"/>
  <c r="G222" i="3"/>
  <c r="I311" i="3"/>
  <c r="I374" i="3"/>
  <c r="I344" i="3"/>
  <c r="G314" i="3"/>
  <c r="G290" i="3"/>
  <c r="I206" i="3"/>
  <c r="H182" i="3"/>
  <c r="G140" i="3"/>
  <c r="I74" i="3"/>
  <c r="G155" i="3"/>
  <c r="G386" i="3"/>
  <c r="H344" i="3"/>
  <c r="H320" i="3"/>
  <c r="G284" i="3"/>
  <c r="I260" i="3"/>
  <c r="G240" i="3"/>
  <c r="G228" i="3"/>
  <c r="I210" i="3"/>
  <c r="G262" i="3"/>
  <c r="G232" i="3"/>
  <c r="G214" i="3"/>
  <c r="I202" i="3"/>
  <c r="I70" i="3"/>
  <c r="I228" i="3"/>
  <c r="H269" i="3"/>
  <c r="G288" i="3"/>
  <c r="G215" i="3"/>
  <c r="G369" i="3"/>
  <c r="I357" i="3"/>
  <c r="G351" i="3"/>
  <c r="H333" i="3"/>
  <c r="G315" i="3"/>
  <c r="I303" i="3"/>
  <c r="H279" i="3"/>
  <c r="H267" i="3"/>
  <c r="G249" i="3"/>
  <c r="G237" i="3"/>
  <c r="G219" i="3"/>
  <c r="H213" i="3"/>
  <c r="G201" i="3"/>
  <c r="H189" i="3"/>
  <c r="G183" i="3"/>
  <c r="I171" i="3"/>
  <c r="G165" i="3"/>
  <c r="G153" i="3"/>
  <c r="G123" i="3"/>
  <c r="G117" i="3"/>
  <c r="I111" i="3"/>
  <c r="I105" i="3"/>
  <c r="H99" i="3"/>
  <c r="G81" i="3"/>
  <c r="I75" i="3"/>
  <c r="H69" i="3"/>
  <c r="I287" i="3"/>
  <c r="H221" i="3"/>
  <c r="I295" i="3"/>
  <c r="I222" i="3"/>
  <c r="G233" i="3"/>
  <c r="G392" i="3"/>
  <c r="H362" i="3"/>
  <c r="I338" i="3"/>
  <c r="I272" i="3"/>
  <c r="G248" i="3"/>
  <c r="I188" i="3"/>
  <c r="G152" i="3"/>
  <c r="G365" i="3"/>
  <c r="G335" i="3"/>
  <c r="G257" i="3"/>
  <c r="I179" i="3"/>
  <c r="I143" i="3"/>
  <c r="G107" i="3"/>
  <c r="I370" i="3"/>
  <c r="G304" i="3"/>
  <c r="G256" i="3"/>
  <c r="H214" i="3"/>
  <c r="H369" i="3"/>
  <c r="G363" i="3"/>
  <c r="I345" i="3"/>
  <c r="G339" i="3"/>
  <c r="G327" i="3"/>
  <c r="H309" i="3"/>
  <c r="G297" i="3"/>
  <c r="H291" i="3"/>
  <c r="G285" i="3"/>
  <c r="H273" i="3"/>
  <c r="H255" i="3"/>
  <c r="H237" i="3"/>
  <c r="G225" i="3"/>
  <c r="H219" i="3"/>
  <c r="G207" i="3"/>
  <c r="H201" i="3"/>
  <c r="G195" i="3"/>
  <c r="H183" i="3"/>
  <c r="G177" i="3"/>
  <c r="H165" i="3"/>
  <c r="H147" i="3"/>
  <c r="H129" i="3"/>
  <c r="H117" i="3"/>
  <c r="H111" i="3"/>
  <c r="G99" i="3"/>
  <c r="H93" i="3"/>
  <c r="H87" i="3"/>
  <c r="H75" i="3"/>
  <c r="G69" i="3"/>
  <c r="H209" i="3"/>
  <c r="H299" i="3"/>
  <c r="I245" i="3"/>
  <c r="I119" i="3"/>
  <c r="G388" i="3"/>
  <c r="H388" i="3"/>
  <c r="H310" i="3"/>
  <c r="H244" i="3"/>
  <c r="G154" i="3"/>
  <c r="G393" i="3"/>
  <c r="H393" i="3"/>
  <c r="I393" i="3"/>
  <c r="H381" i="3"/>
  <c r="I381" i="3"/>
  <c r="H141" i="3"/>
  <c r="I141" i="3"/>
  <c r="G63" i="3"/>
  <c r="H63" i="3"/>
  <c r="I63" i="3"/>
  <c r="I227" i="3"/>
  <c r="H347" i="3"/>
  <c r="H317" i="3"/>
  <c r="H239" i="3"/>
  <c r="H161" i="3"/>
  <c r="I161" i="3"/>
  <c r="H131" i="3"/>
  <c r="G89" i="3"/>
  <c r="I328" i="3"/>
  <c r="H226" i="3"/>
  <c r="H351" i="3"/>
  <c r="H315" i="3"/>
  <c r="I249" i="3"/>
  <c r="I123" i="3"/>
  <c r="G311" i="3"/>
  <c r="G371" i="3"/>
  <c r="I353" i="3"/>
  <c r="G329" i="3"/>
  <c r="G263" i="3"/>
  <c r="G251" i="3"/>
  <c r="H149" i="3"/>
  <c r="G137" i="3"/>
  <c r="G131" i="3"/>
  <c r="I292" i="3"/>
  <c r="G274" i="3"/>
  <c r="I232" i="3"/>
  <c r="H88" i="3"/>
  <c r="I88" i="3"/>
  <c r="H232" i="3"/>
  <c r="H231" i="3"/>
  <c r="I231" i="3"/>
  <c r="I333" i="3"/>
  <c r="I279" i="3"/>
  <c r="H262" i="3"/>
  <c r="H249" i="3"/>
  <c r="I239" i="3"/>
  <c r="G231" i="3"/>
  <c r="I221" i="3"/>
  <c r="I213" i="3"/>
  <c r="I201" i="3"/>
  <c r="I183" i="3"/>
  <c r="H154" i="3"/>
  <c r="G141" i="3"/>
  <c r="G333" i="3"/>
  <c r="G279" i="3"/>
  <c r="G239" i="3"/>
  <c r="G213" i="3"/>
  <c r="I153" i="3"/>
  <c r="G88" i="3"/>
  <c r="I392" i="3"/>
  <c r="I384" i="3"/>
  <c r="G260" i="3"/>
  <c r="H146" i="3"/>
  <c r="H134" i="3"/>
  <c r="I68" i="3"/>
  <c r="I235" i="3"/>
  <c r="I217" i="3"/>
  <c r="G205" i="3"/>
  <c r="I193" i="3"/>
  <c r="G175" i="3"/>
  <c r="I163" i="3"/>
  <c r="I133" i="3"/>
  <c r="I127" i="3"/>
  <c r="I109" i="3"/>
  <c r="H67" i="3"/>
  <c r="H332" i="3"/>
  <c r="I302" i="3"/>
  <c r="I290" i="3"/>
  <c r="I278" i="3"/>
  <c r="G266" i="3"/>
  <c r="H224" i="3"/>
  <c r="I356" i="3"/>
  <c r="G332" i="3"/>
  <c r="G302" i="3"/>
  <c r="H254" i="3"/>
  <c r="H217" i="3"/>
  <c r="G378" i="3"/>
  <c r="H306" i="3"/>
  <c r="G300" i="3"/>
  <c r="G294" i="3"/>
  <c r="I288" i="3"/>
  <c r="H282" i="3"/>
  <c r="I240" i="3"/>
  <c r="I204" i="3"/>
  <c r="H192" i="3"/>
  <c r="I186" i="3"/>
  <c r="I174" i="3"/>
  <c r="I144" i="3"/>
  <c r="G132" i="3"/>
  <c r="G120" i="3"/>
  <c r="G114" i="3"/>
  <c r="G102" i="3"/>
  <c r="H391" i="3"/>
  <c r="I391" i="3"/>
  <c r="G379" i="3"/>
  <c r="H379" i="3"/>
  <c r="I379" i="3"/>
  <c r="G367" i="3"/>
  <c r="H367" i="3"/>
  <c r="I367" i="3"/>
  <c r="H355" i="3"/>
  <c r="I355" i="3"/>
  <c r="G355" i="3"/>
  <c r="H343" i="3"/>
  <c r="G343" i="3"/>
  <c r="I343" i="3"/>
  <c r="G331" i="3"/>
  <c r="H331" i="3"/>
  <c r="I331" i="3"/>
  <c r="H319" i="3"/>
  <c r="G319" i="3"/>
  <c r="I319" i="3"/>
  <c r="I385" i="3"/>
  <c r="G385" i="3"/>
  <c r="H385" i="3"/>
  <c r="G373" i="3"/>
  <c r="H373" i="3"/>
  <c r="I373" i="3"/>
  <c r="H361" i="3"/>
  <c r="G361" i="3"/>
  <c r="I361" i="3"/>
  <c r="G349" i="3"/>
  <c r="H349" i="3"/>
  <c r="I349" i="3"/>
  <c r="I337" i="3"/>
  <c r="G337" i="3"/>
  <c r="H337" i="3"/>
  <c r="G325" i="3"/>
  <c r="H325" i="3"/>
  <c r="I325" i="3"/>
  <c r="G391" i="3"/>
  <c r="G295" i="3"/>
  <c r="I283" i="3"/>
  <c r="H277" i="3"/>
  <c r="G277" i="3"/>
  <c r="H265" i="3"/>
  <c r="G265" i="3"/>
  <c r="G253" i="3"/>
  <c r="H253" i="3"/>
  <c r="I253" i="3"/>
  <c r="H241" i="3"/>
  <c r="G241" i="3"/>
  <c r="I241" i="3"/>
  <c r="G229" i="3"/>
  <c r="H229" i="3"/>
  <c r="I229" i="3"/>
  <c r="I211" i="3"/>
  <c r="G211" i="3"/>
  <c r="H211" i="3"/>
  <c r="G199" i="3"/>
  <c r="H199" i="3"/>
  <c r="I199" i="3"/>
  <c r="G187" i="3"/>
  <c r="I187" i="3"/>
  <c r="H181" i="3"/>
  <c r="I181" i="3"/>
  <c r="H169" i="3"/>
  <c r="G169" i="3"/>
  <c r="I157" i="3"/>
  <c r="G157" i="3"/>
  <c r="H157" i="3"/>
  <c r="H145" i="3"/>
  <c r="I145" i="3"/>
  <c r="I139" i="3"/>
  <c r="H139" i="3"/>
  <c r="G115" i="3"/>
  <c r="I115" i="3"/>
  <c r="H97" i="3"/>
  <c r="H85" i="3"/>
  <c r="G85" i="3"/>
  <c r="H73" i="3"/>
  <c r="I73" i="3"/>
  <c r="H115" i="3"/>
  <c r="I372" i="3"/>
  <c r="G372" i="3"/>
  <c r="H372" i="3"/>
  <c r="G360" i="3"/>
  <c r="H360" i="3"/>
  <c r="H342" i="3"/>
  <c r="I330" i="3"/>
  <c r="G318" i="3"/>
  <c r="H318" i="3"/>
  <c r="H276" i="3"/>
  <c r="I276" i="3"/>
  <c r="G264" i="3"/>
  <c r="H264" i="3"/>
  <c r="I264" i="3"/>
  <c r="G252" i="3"/>
  <c r="I252" i="3"/>
  <c r="G216" i="3"/>
  <c r="H216" i="3"/>
  <c r="I216" i="3"/>
  <c r="H198" i="3"/>
  <c r="G180" i="3"/>
  <c r="H168" i="3"/>
  <c r="I168" i="3"/>
  <c r="G168" i="3"/>
  <c r="G156" i="3"/>
  <c r="H156" i="3"/>
  <c r="I156" i="3"/>
  <c r="H150" i="3"/>
  <c r="I150" i="3"/>
  <c r="G138" i="3"/>
  <c r="H138" i="3"/>
  <c r="I138" i="3"/>
  <c r="H126" i="3"/>
  <c r="G126" i="3"/>
  <c r="G96" i="3"/>
  <c r="H96" i="3"/>
  <c r="I96" i="3"/>
  <c r="H90" i="3"/>
  <c r="G90" i="3"/>
  <c r="I90" i="3"/>
  <c r="H84" i="3"/>
  <c r="I84" i="3"/>
  <c r="G78" i="3"/>
  <c r="H78" i="3"/>
  <c r="I78" i="3"/>
  <c r="G66" i="3"/>
  <c r="H66" i="3"/>
  <c r="I66" i="3"/>
  <c r="H193" i="3"/>
  <c r="H187" i="3"/>
  <c r="I120" i="3"/>
  <c r="H114" i="3"/>
  <c r="G306" i="3"/>
  <c r="G193" i="3"/>
  <c r="H120" i="3"/>
  <c r="G383" i="3"/>
  <c r="H359" i="3"/>
  <c r="I359" i="3"/>
  <c r="G359" i="3"/>
  <c r="I323" i="3"/>
  <c r="H287" i="3"/>
  <c r="G287" i="3"/>
  <c r="G281" i="3"/>
  <c r="H281" i="3"/>
  <c r="I281" i="3"/>
  <c r="H275" i="3"/>
  <c r="G275" i="3"/>
  <c r="I275" i="3"/>
  <c r="H263" i="3"/>
  <c r="I263" i="3"/>
  <c r="H227" i="3"/>
  <c r="H215" i="3"/>
  <c r="I215" i="3"/>
  <c r="G197" i="3"/>
  <c r="I185" i="3"/>
  <c r="G185" i="3"/>
  <c r="G173" i="3"/>
  <c r="H173" i="3"/>
  <c r="I173" i="3"/>
  <c r="H155" i="3"/>
  <c r="H125" i="3"/>
  <c r="I125" i="3"/>
  <c r="G113" i="3"/>
  <c r="H113" i="3"/>
  <c r="I113" i="3"/>
  <c r="G101" i="3"/>
  <c r="H101" i="3"/>
  <c r="I101" i="3"/>
  <c r="H89" i="3"/>
  <c r="I89" i="3"/>
  <c r="H71" i="3"/>
  <c r="G71" i="3"/>
  <c r="I71" i="3"/>
  <c r="H383" i="3"/>
  <c r="H371" i="3"/>
  <c r="H335" i="3"/>
  <c r="I299" i="3"/>
  <c r="H283" i="3"/>
  <c r="I277" i="3"/>
  <c r="I169" i="3"/>
  <c r="G139" i="3"/>
  <c r="H127" i="3"/>
  <c r="H353" i="3"/>
  <c r="H175" i="3"/>
  <c r="G145" i="3"/>
  <c r="I132" i="3"/>
  <c r="G127" i="3"/>
  <c r="H94" i="3"/>
  <c r="G364" i="3"/>
  <c r="H364" i="3"/>
  <c r="I364" i="3"/>
  <c r="G352" i="3"/>
  <c r="H352" i="3"/>
  <c r="I352" i="3"/>
  <c r="G346" i="3"/>
  <c r="H346" i="3"/>
  <c r="G334" i="3"/>
  <c r="H334" i="3"/>
  <c r="I334" i="3"/>
  <c r="I322" i="3"/>
  <c r="G322" i="3"/>
  <c r="H322" i="3"/>
  <c r="I298" i="3"/>
  <c r="G298" i="3"/>
  <c r="H298" i="3"/>
  <c r="G286" i="3"/>
  <c r="H286" i="3"/>
  <c r="I286" i="3"/>
  <c r="G280" i="3"/>
  <c r="I280" i="3"/>
  <c r="H280" i="3"/>
  <c r="I262" i="3"/>
  <c r="G250" i="3"/>
  <c r="H250" i="3"/>
  <c r="I250" i="3"/>
  <c r="G238" i="3"/>
  <c r="H238" i="3"/>
  <c r="H220" i="3"/>
  <c r="I220" i="3"/>
  <c r="G196" i="3"/>
  <c r="G178" i="3"/>
  <c r="G118" i="3"/>
  <c r="I106" i="3"/>
  <c r="I94" i="3"/>
  <c r="G353" i="3"/>
  <c r="G342" i="3"/>
  <c r="G299" i="3"/>
  <c r="G192" i="3"/>
  <c r="I137" i="3"/>
  <c r="H132" i="3"/>
  <c r="I126" i="3"/>
  <c r="I102" i="3"/>
  <c r="I76" i="3"/>
  <c r="H370" i="3"/>
  <c r="H328" i="3"/>
  <c r="G310" i="3"/>
  <c r="I282" i="3"/>
  <c r="I257" i="3"/>
  <c r="I198" i="3"/>
  <c r="G166" i="3"/>
  <c r="G150" i="3"/>
  <c r="H137" i="3"/>
  <c r="G125" i="3"/>
  <c r="H102" i="3"/>
  <c r="H76" i="3"/>
  <c r="G370" i="3"/>
  <c r="H365" i="3"/>
  <c r="G347" i="3"/>
  <c r="G328" i="3"/>
  <c r="H257" i="3"/>
  <c r="G198" i="3"/>
  <c r="I149" i="3"/>
  <c r="I131" i="3"/>
  <c r="I85" i="3"/>
  <c r="G313" i="3"/>
  <c r="H313" i="3"/>
  <c r="I313" i="3"/>
  <c r="H307" i="3"/>
  <c r="I307" i="3"/>
  <c r="G301" i="3"/>
  <c r="H301" i="3"/>
  <c r="I301" i="3"/>
  <c r="G289" i="3"/>
  <c r="H289" i="3"/>
  <c r="I289" i="3"/>
  <c r="G271" i="3"/>
  <c r="G259" i="3"/>
  <c r="I259" i="3"/>
  <c r="H259" i="3"/>
  <c r="I247" i="3"/>
  <c r="G247" i="3"/>
  <c r="H247" i="3"/>
  <c r="G223" i="3"/>
  <c r="I223" i="3"/>
  <c r="H205" i="3"/>
  <c r="I175" i="3"/>
  <c r="G163" i="3"/>
  <c r="H163" i="3"/>
  <c r="G151" i="3"/>
  <c r="I151" i="3"/>
  <c r="H151" i="3"/>
  <c r="H133" i="3"/>
  <c r="G121" i="3"/>
  <c r="H121" i="3"/>
  <c r="I121" i="3"/>
  <c r="I103" i="3"/>
  <c r="G103" i="3"/>
  <c r="H103" i="3"/>
  <c r="G91" i="3"/>
  <c r="H91" i="3"/>
  <c r="I91" i="3"/>
  <c r="G79" i="3"/>
  <c r="I79" i="3"/>
  <c r="H79" i="3"/>
  <c r="I67" i="3"/>
  <c r="G307" i="3"/>
  <c r="I271" i="3"/>
  <c r="H271" i="3"/>
  <c r="G73" i="3"/>
  <c r="I390" i="3"/>
  <c r="G390" i="3"/>
  <c r="H390" i="3"/>
  <c r="G366" i="3"/>
  <c r="H366" i="3"/>
  <c r="I366" i="3"/>
  <c r="H354" i="3"/>
  <c r="I354" i="3"/>
  <c r="H348" i="3"/>
  <c r="I348" i="3"/>
  <c r="G336" i="3"/>
  <c r="H336" i="3"/>
  <c r="I336" i="3"/>
  <c r="G324" i="3"/>
  <c r="I312" i="3"/>
  <c r="G312" i="3"/>
  <c r="H312" i="3"/>
  <c r="G282" i="3"/>
  <c r="H270" i="3"/>
  <c r="G270" i="3"/>
  <c r="I270" i="3"/>
  <c r="G258" i="3"/>
  <c r="I258" i="3"/>
  <c r="H258" i="3"/>
  <c r="G246" i="3"/>
  <c r="H246" i="3"/>
  <c r="I246" i="3"/>
  <c r="H234" i="3"/>
  <c r="G234" i="3"/>
  <c r="G186" i="3"/>
  <c r="H186" i="3"/>
  <c r="G174" i="3"/>
  <c r="H174" i="3"/>
  <c r="H162" i="3"/>
  <c r="G162" i="3"/>
  <c r="I162" i="3"/>
  <c r="G144" i="3"/>
  <c r="G108" i="3"/>
  <c r="H108" i="3"/>
  <c r="I108" i="3"/>
  <c r="G72" i="3"/>
  <c r="H72" i="3"/>
  <c r="I72" i="3"/>
  <c r="G354" i="3"/>
  <c r="G330" i="3"/>
  <c r="I378" i="3"/>
  <c r="H252" i="3"/>
  <c r="I97" i="3"/>
  <c r="G389" i="3"/>
  <c r="H389" i="3"/>
  <c r="I389" i="3"/>
  <c r="G377" i="3"/>
  <c r="H377" i="3"/>
  <c r="I377" i="3"/>
  <c r="H341" i="3"/>
  <c r="I341" i="3"/>
  <c r="G341" i="3"/>
  <c r="H329" i="3"/>
  <c r="G317" i="3"/>
  <c r="I317" i="3"/>
  <c r="G305" i="3"/>
  <c r="H305" i="3"/>
  <c r="I305" i="3"/>
  <c r="G293" i="3"/>
  <c r="H293" i="3"/>
  <c r="I293" i="3"/>
  <c r="I269" i="3"/>
  <c r="H251" i="3"/>
  <c r="H233" i="3"/>
  <c r="I233" i="3"/>
  <c r="G221" i="3"/>
  <c r="G203" i="3"/>
  <c r="H203" i="3"/>
  <c r="I203" i="3"/>
  <c r="H191" i="3"/>
  <c r="G191" i="3"/>
  <c r="I191" i="3"/>
  <c r="H179" i="3"/>
  <c r="G179" i="3"/>
  <c r="G167" i="3"/>
  <c r="H167" i="3"/>
  <c r="I167" i="3"/>
  <c r="H143" i="3"/>
  <c r="H119" i="3"/>
  <c r="G119" i="3"/>
  <c r="H107" i="3"/>
  <c r="I107" i="3"/>
  <c r="G95" i="3"/>
  <c r="H95" i="3"/>
  <c r="I95" i="3"/>
  <c r="H83" i="3"/>
  <c r="G83" i="3"/>
  <c r="I83" i="3"/>
  <c r="I77" i="3"/>
  <c r="G77" i="3"/>
  <c r="H77" i="3"/>
  <c r="G65" i="3"/>
  <c r="I65" i="3"/>
  <c r="H65" i="3"/>
  <c r="H378" i="3"/>
  <c r="G348" i="3"/>
  <c r="I329" i="3"/>
  <c r="I324" i="3"/>
  <c r="I318" i="3"/>
  <c r="I251" i="3"/>
  <c r="I192" i="3"/>
  <c r="H185" i="3"/>
  <c r="G133" i="3"/>
  <c r="G97" i="3"/>
  <c r="I360" i="3"/>
  <c r="I342" i="3"/>
  <c r="H324" i="3"/>
  <c r="G283" i="3"/>
  <c r="G276" i="3"/>
  <c r="I166" i="3"/>
  <c r="H382" i="3"/>
  <c r="I382" i="3"/>
  <c r="G376" i="3"/>
  <c r="H376" i="3"/>
  <c r="I358" i="3"/>
  <c r="H358" i="3"/>
  <c r="G340" i="3"/>
  <c r="H340" i="3"/>
  <c r="I340" i="3"/>
  <c r="G316" i="3"/>
  <c r="H316" i="3"/>
  <c r="I316" i="3"/>
  <c r="G292" i="3"/>
  <c r="H292" i="3"/>
  <c r="I274" i="3"/>
  <c r="G268" i="3"/>
  <c r="H268" i="3"/>
  <c r="I268" i="3"/>
  <c r="G244" i="3"/>
  <c r="I244" i="3"/>
  <c r="I226" i="3"/>
  <c r="G226" i="3"/>
  <c r="H202" i="3"/>
  <c r="G184" i="3"/>
  <c r="G124" i="3"/>
  <c r="I376" i="3"/>
  <c r="G358" i="3"/>
  <c r="I347" i="3"/>
  <c r="H323" i="3"/>
  <c r="H274" i="3"/>
  <c r="I365" i="3"/>
  <c r="G323" i="3"/>
  <c r="I205" i="3"/>
  <c r="H144" i="3"/>
  <c r="I346" i="3"/>
  <c r="I265" i="3"/>
  <c r="H223" i="3"/>
  <c r="I197" i="3"/>
  <c r="G181" i="3"/>
  <c r="I155" i="3"/>
  <c r="G143" i="3"/>
  <c r="G84" i="3"/>
  <c r="G67" i="3"/>
  <c r="G208" i="3"/>
  <c r="I208" i="3"/>
  <c r="G160" i="3"/>
  <c r="H160" i="3"/>
  <c r="I160" i="3"/>
  <c r="G136" i="3"/>
  <c r="I136" i="3"/>
  <c r="G130" i="3"/>
  <c r="H130" i="3"/>
  <c r="H112" i="3"/>
  <c r="I112" i="3"/>
  <c r="G100" i="3"/>
  <c r="I100" i="3"/>
  <c r="I82" i="3"/>
  <c r="G82" i="3"/>
  <c r="H82" i="3"/>
  <c r="G64" i="3"/>
  <c r="I64" i="3"/>
  <c r="H64" i="3"/>
  <c r="H124" i="3"/>
  <c r="G202" i="3"/>
  <c r="I196" i="3"/>
  <c r="I184" i="3"/>
  <c r="H118" i="3"/>
  <c r="H106" i="3"/>
  <c r="H184" i="3"/>
  <c r="H178" i="3"/>
  <c r="G112" i="3"/>
  <c r="G106" i="3"/>
  <c r="I190" i="3"/>
  <c r="G190" i="3"/>
  <c r="H190" i="3"/>
  <c r="G172" i="3"/>
  <c r="I172" i="3"/>
  <c r="H172" i="3"/>
  <c r="I154" i="3"/>
  <c r="G142" i="3"/>
  <c r="H142" i="3"/>
  <c r="I142" i="3"/>
  <c r="I118" i="3"/>
  <c r="H208" i="3"/>
  <c r="I130" i="3"/>
  <c r="I178" i="3"/>
  <c r="H196" i="3"/>
  <c r="H100" i="3"/>
  <c r="H363" i="3"/>
  <c r="H345" i="3"/>
  <c r="I327" i="3"/>
  <c r="I320" i="3"/>
  <c r="I309" i="3"/>
  <c r="I297" i="3"/>
  <c r="I285" i="3"/>
  <c r="I255" i="3"/>
  <c r="I242" i="3"/>
  <c r="H225" i="3"/>
  <c r="G212" i="3"/>
  <c r="I207" i="3"/>
  <c r="H195" i="3"/>
  <c r="I177" i="3"/>
  <c r="I147" i="3"/>
  <c r="I134" i="3"/>
  <c r="G104" i="3"/>
  <c r="I99" i="3"/>
  <c r="I69" i="3"/>
  <c r="I369" i="3"/>
  <c r="G345" i="3"/>
  <c r="H327" i="3"/>
  <c r="G309" i="3"/>
  <c r="H297" i="3"/>
  <c r="H285" i="3"/>
  <c r="G255" i="3"/>
  <c r="H207" i="3"/>
  <c r="I237" i="3"/>
  <c r="I194" i="3"/>
  <c r="I129" i="3"/>
  <c r="I86" i="3"/>
  <c r="G61" i="3"/>
  <c r="H61" i="3"/>
  <c r="I61" i="3"/>
  <c r="I54" i="3"/>
  <c r="I55" i="3"/>
  <c r="I43" i="3"/>
  <c r="H58" i="3"/>
  <c r="I31" i="3"/>
  <c r="I53" i="3"/>
  <c r="I41" i="3"/>
  <c r="I52" i="3"/>
  <c r="I46" i="3"/>
  <c r="I40" i="3"/>
  <c r="I34" i="3"/>
  <c r="I28" i="3"/>
  <c r="H22" i="3"/>
  <c r="I42" i="3"/>
  <c r="I30" i="3"/>
  <c r="I29" i="3"/>
  <c r="H57" i="3"/>
  <c r="I51" i="3"/>
  <c r="I45" i="3"/>
  <c r="I39" i="3"/>
  <c r="H33" i="3"/>
  <c r="I27" i="3"/>
  <c r="I56" i="3"/>
  <c r="I50" i="3"/>
  <c r="I44" i="3"/>
  <c r="I38" i="3"/>
  <c r="I32" i="3"/>
  <c r="I26" i="3"/>
  <c r="I58" i="3"/>
  <c r="I60" i="3"/>
  <c r="I48" i="3"/>
  <c r="I36" i="3"/>
  <c r="I24" i="3"/>
  <c r="I59" i="3"/>
  <c r="I47" i="3"/>
  <c r="I35" i="3"/>
  <c r="I23" i="3"/>
  <c r="I57" i="3"/>
  <c r="I33" i="3"/>
  <c r="H49" i="3"/>
  <c r="H37" i="3"/>
  <c r="H25" i="3"/>
  <c r="H54" i="3"/>
  <c r="H42" i="3"/>
  <c r="H30" i="3"/>
  <c r="I49" i="3"/>
  <c r="I37" i="3"/>
  <c r="I25" i="3"/>
  <c r="H46" i="3"/>
  <c r="H40" i="3"/>
  <c r="H34" i="3"/>
  <c r="H60" i="3"/>
  <c r="H48" i="3"/>
  <c r="H36" i="3"/>
  <c r="H24" i="3"/>
  <c r="H59" i="3"/>
  <c r="H53" i="3"/>
  <c r="H47" i="3"/>
  <c r="H41" i="3"/>
  <c r="H35" i="3"/>
  <c r="H29" i="3"/>
  <c r="H23" i="3"/>
  <c r="H52" i="3"/>
  <c r="H28" i="3"/>
  <c r="H51" i="3"/>
  <c r="H45" i="3"/>
  <c r="H39" i="3"/>
  <c r="H27" i="3"/>
  <c r="H56" i="3"/>
  <c r="H50" i="3"/>
  <c r="H44" i="3"/>
  <c r="H38" i="3"/>
  <c r="H32" i="3"/>
  <c r="H26" i="3"/>
  <c r="H55" i="3"/>
  <c r="H43" i="3"/>
  <c r="H31" i="3"/>
  <c r="I22" i="3"/>
  <c r="G60" i="3"/>
  <c r="G54" i="3"/>
  <c r="G48" i="3"/>
  <c r="G36" i="3"/>
  <c r="G30" i="3"/>
  <c r="G24" i="3"/>
  <c r="G42" i="3"/>
  <c r="G31" i="3"/>
  <c r="G59" i="3"/>
  <c r="G53" i="3"/>
  <c r="G47" i="3"/>
  <c r="G41" i="3"/>
  <c r="G35" i="3"/>
  <c r="G23" i="3"/>
  <c r="G29" i="3"/>
  <c r="G52" i="3"/>
  <c r="G40" i="3"/>
  <c r="G51" i="3"/>
  <c r="G39" i="3"/>
  <c r="G27" i="3"/>
  <c r="G50" i="3"/>
  <c r="G32" i="3"/>
  <c r="G26" i="3"/>
  <c r="G25" i="3"/>
  <c r="G34" i="3"/>
  <c r="G45" i="3"/>
  <c r="G44" i="3"/>
  <c r="G58" i="3"/>
  <c r="G46" i="3"/>
  <c r="G28" i="3"/>
  <c r="G57" i="3"/>
  <c r="G33" i="3"/>
  <c r="G56" i="3"/>
  <c r="G38" i="3"/>
  <c r="G55" i="3"/>
  <c r="G49" i="3"/>
  <c r="G43" i="3"/>
  <c r="G37" i="3"/>
  <c r="G22" i="3"/>
  <c r="S6" i="3"/>
  <c r="S7" i="3" s="1"/>
  <c r="S8" i="3" s="1"/>
  <c r="P6" i="3"/>
  <c r="P7" i="3" s="1"/>
  <c r="P8" i="3" s="1"/>
  <c r="P10" i="3"/>
  <c r="O6" i="3"/>
  <c r="O10" i="3" s="1"/>
  <c r="R6" i="3"/>
  <c r="R10" i="3" s="1"/>
  <c r="Q6" i="3"/>
  <c r="Q7" i="3" s="1"/>
  <c r="Q8" i="3" s="1"/>
  <c r="M6" i="3"/>
  <c r="M7" i="3" s="1"/>
  <c r="M8" i="3" s="1"/>
  <c r="M9" i="3"/>
  <c r="M10" i="3"/>
  <c r="K15" i="3"/>
  <c r="K18" i="3"/>
  <c r="N6" i="3"/>
  <c r="N7" i="3" s="1"/>
  <c r="N8" i="3" s="1"/>
  <c r="L6" i="3"/>
  <c r="L7" i="3" s="1"/>
  <c r="L8" i="3" s="1"/>
  <c r="L9" i="3"/>
  <c r="L10" i="3"/>
  <c r="K9" i="3"/>
  <c r="K10" i="3" s="1"/>
  <c r="K6" i="3"/>
  <c r="K7" i="3" s="1"/>
  <c r="K8" i="3" s="1"/>
  <c r="J62" i="3" l="1"/>
  <c r="J171" i="3"/>
  <c r="J176" i="3"/>
  <c r="J267" i="3"/>
  <c r="J308" i="3"/>
  <c r="J203" i="3"/>
  <c r="J135" i="3"/>
  <c r="J110" i="3"/>
  <c r="J200" i="3"/>
  <c r="J339" i="3"/>
  <c r="J87" i="3"/>
  <c r="J387" i="3"/>
  <c r="J224" i="3"/>
  <c r="J92" i="3"/>
  <c r="J170" i="3"/>
  <c r="J307" i="3"/>
  <c r="J122" i="3"/>
  <c r="J230" i="3"/>
  <c r="J95" i="3"/>
  <c r="J278" i="3"/>
  <c r="J158" i="3"/>
  <c r="J350" i="3"/>
  <c r="J291" i="3"/>
  <c r="J222" i="3"/>
  <c r="J357" i="3"/>
  <c r="J368" i="3"/>
  <c r="J68" i="3"/>
  <c r="J296" i="3"/>
  <c r="J117" i="3"/>
  <c r="J321" i="3"/>
  <c r="J375" i="3"/>
  <c r="J362" i="3"/>
  <c r="J141" i="3"/>
  <c r="J261" i="3"/>
  <c r="J272" i="3"/>
  <c r="J212" i="3"/>
  <c r="J245" i="3"/>
  <c r="J303" i="3"/>
  <c r="J243" i="3"/>
  <c r="J161" i="3"/>
  <c r="J70" i="3"/>
  <c r="J294" i="3"/>
  <c r="J290" i="3"/>
  <c r="J374" i="3"/>
  <c r="J380" i="3"/>
  <c r="J74" i="3"/>
  <c r="J93" i="3"/>
  <c r="J89" i="3"/>
  <c r="J315" i="3"/>
  <c r="J206" i="3"/>
  <c r="J273" i="3"/>
  <c r="J236" i="3"/>
  <c r="J152" i="3"/>
  <c r="J266" i="3"/>
  <c r="J123" i="3"/>
  <c r="J214" i="3"/>
  <c r="J210" i="3"/>
  <c r="J140" i="3"/>
  <c r="J116" i="3"/>
  <c r="J194" i="3"/>
  <c r="J304" i="3"/>
  <c r="J76" i="3"/>
  <c r="J235" i="3"/>
  <c r="J104" i="3"/>
  <c r="J108" i="3"/>
  <c r="J180" i="3"/>
  <c r="J279" i="3"/>
  <c r="J86" i="3"/>
  <c r="J167" i="3"/>
  <c r="J148" i="3"/>
  <c r="J159" i="3"/>
  <c r="J355" i="3"/>
  <c r="J300" i="3"/>
  <c r="J310" i="3"/>
  <c r="J256" i="3"/>
  <c r="J128" i="3"/>
  <c r="J81" i="3"/>
  <c r="J386" i="3"/>
  <c r="J254" i="3"/>
  <c r="J314" i="3"/>
  <c r="J80" i="3"/>
  <c r="J225" i="3"/>
  <c r="J164" i="3"/>
  <c r="J98" i="3"/>
  <c r="J326" i="3"/>
  <c r="J204" i="3"/>
  <c r="J153" i="3"/>
  <c r="J183" i="3"/>
  <c r="J288" i="3"/>
  <c r="J284" i="3"/>
  <c r="J205" i="3"/>
  <c r="J248" i="3"/>
  <c r="J182" i="3"/>
  <c r="J285" i="3"/>
  <c r="J109" i="3"/>
  <c r="J338" i="3"/>
  <c r="J189" i="3"/>
  <c r="J105" i="3"/>
  <c r="J218" i="3"/>
  <c r="J311" i="3"/>
  <c r="J269" i="3"/>
  <c r="J344" i="3"/>
  <c r="J242" i="3"/>
  <c r="J295" i="3"/>
  <c r="J391" i="3"/>
  <c r="J384" i="3"/>
  <c r="J147" i="3"/>
  <c r="J369" i="3"/>
  <c r="J240" i="3"/>
  <c r="J195" i="3"/>
  <c r="J118" i="3"/>
  <c r="J111" i="3"/>
  <c r="J129" i="3"/>
  <c r="J234" i="3"/>
  <c r="J298" i="3"/>
  <c r="J356" i="3"/>
  <c r="J388" i="3"/>
  <c r="J188" i="3"/>
  <c r="J146" i="3"/>
  <c r="J260" i="3"/>
  <c r="J320" i="3"/>
  <c r="J97" i="3"/>
  <c r="J119" i="3"/>
  <c r="J207" i="3"/>
  <c r="J165" i="3"/>
  <c r="J154" i="3"/>
  <c r="J166" i="3"/>
  <c r="J301" i="3"/>
  <c r="J274" i="3"/>
  <c r="J255" i="3"/>
  <c r="J229" i="3"/>
  <c r="J381" i="3"/>
  <c r="J209" i="3"/>
  <c r="J228" i="3"/>
  <c r="J247" i="3"/>
  <c r="J220" i="3"/>
  <c r="J286" i="3"/>
  <c r="J275" i="3"/>
  <c r="J168" i="3"/>
  <c r="J69" i="3"/>
  <c r="J201" i="3"/>
  <c r="J365" i="3"/>
  <c r="J211" i="3"/>
  <c r="J292" i="3"/>
  <c r="J382" i="3"/>
  <c r="J251" i="3"/>
  <c r="J378" i="3"/>
  <c r="J114" i="3"/>
  <c r="J216" i="3"/>
  <c r="J332" i="3"/>
  <c r="J392" i="3"/>
  <c r="J232" i="3"/>
  <c r="J63" i="3"/>
  <c r="J219" i="3"/>
  <c r="J363" i="3"/>
  <c r="J335" i="3"/>
  <c r="J351" i="3"/>
  <c r="J75" i="3"/>
  <c r="J172" i="3"/>
  <c r="J82" i="3"/>
  <c r="J233" i="3"/>
  <c r="J184" i="3"/>
  <c r="J287" i="3"/>
  <c r="J88" i="3"/>
  <c r="J231" i="3"/>
  <c r="J371" i="3"/>
  <c r="J265" i="3"/>
  <c r="J67" i="3"/>
  <c r="J276" i="3"/>
  <c r="J175" i="3"/>
  <c r="J239" i="3"/>
  <c r="J237" i="3"/>
  <c r="J202" i="3"/>
  <c r="J112" i="3"/>
  <c r="J283" i="3"/>
  <c r="J348" i="3"/>
  <c r="J289" i="3"/>
  <c r="J149" i="3"/>
  <c r="J215" i="3"/>
  <c r="J252" i="3"/>
  <c r="J193" i="3"/>
  <c r="J213" i="3"/>
  <c r="J249" i="3"/>
  <c r="J139" i="3"/>
  <c r="J253" i="3"/>
  <c r="J130" i="3"/>
  <c r="J100" i="3"/>
  <c r="J134" i="3"/>
  <c r="J72" i="3"/>
  <c r="J137" i="3"/>
  <c r="J178" i="3"/>
  <c r="J280" i="3"/>
  <c r="J227" i="3"/>
  <c r="J115" i="3"/>
  <c r="J217" i="3"/>
  <c r="J208" i="3"/>
  <c r="J84" i="3"/>
  <c r="J297" i="3"/>
  <c r="J143" i="3"/>
  <c r="J181" i="3"/>
  <c r="J73" i="3"/>
  <c r="J347" i="3"/>
  <c r="J226" i="3"/>
  <c r="J329" i="3"/>
  <c r="J120" i="3"/>
  <c r="J330" i="3"/>
  <c r="J370" i="3"/>
  <c r="J126" i="3"/>
  <c r="J102" i="3"/>
  <c r="J133" i="3"/>
  <c r="J144" i="3"/>
  <c r="J328" i="3"/>
  <c r="J263" i="3"/>
  <c r="J151" i="3"/>
  <c r="J238" i="3"/>
  <c r="J155" i="3"/>
  <c r="J383" i="3"/>
  <c r="J323" i="3"/>
  <c r="J271" i="3"/>
  <c r="J85" i="3"/>
  <c r="J299" i="3"/>
  <c r="J136" i="3"/>
  <c r="J223" i="3"/>
  <c r="J354" i="3"/>
  <c r="J353" i="3"/>
  <c r="J250" i="3"/>
  <c r="J145" i="3"/>
  <c r="J190" i="3"/>
  <c r="J157" i="3"/>
  <c r="J132" i="3"/>
  <c r="J393" i="3"/>
  <c r="J177" i="3"/>
  <c r="J221" i="3"/>
  <c r="J121" i="3"/>
  <c r="J106" i="3"/>
  <c r="J79" i="3"/>
  <c r="J257" i="3"/>
  <c r="J156" i="3"/>
  <c r="J333" i="3"/>
  <c r="J142" i="3"/>
  <c r="J179" i="3"/>
  <c r="J259" i="3"/>
  <c r="J187" i="3"/>
  <c r="J99" i="3"/>
  <c r="J244" i="3"/>
  <c r="J107" i="3"/>
  <c r="J103" i="3"/>
  <c r="J131" i="3"/>
  <c r="J262" i="3"/>
  <c r="J94" i="3"/>
  <c r="J185" i="3"/>
  <c r="J306" i="3"/>
  <c r="J302" i="3"/>
  <c r="J64" i="3"/>
  <c r="J162" i="3"/>
  <c r="J313" i="3"/>
  <c r="J258" i="3"/>
  <c r="J293" i="3"/>
  <c r="J163" i="3"/>
  <c r="J342" i="3"/>
  <c r="J325" i="3"/>
  <c r="J340" i="3"/>
  <c r="J270" i="3"/>
  <c r="J364" i="3"/>
  <c r="J173" i="3"/>
  <c r="J309" i="3"/>
  <c r="J65" i="3"/>
  <c r="J389" i="3"/>
  <c r="J186" i="3"/>
  <c r="J127" i="3"/>
  <c r="J281" i="3"/>
  <c r="J78" i="3"/>
  <c r="J197" i="3"/>
  <c r="J138" i="3"/>
  <c r="J345" i="3"/>
  <c r="J198" i="3"/>
  <c r="J360" i="3"/>
  <c r="J169" i="3"/>
  <c r="J349" i="3"/>
  <c r="J124" i="3"/>
  <c r="J341" i="3"/>
  <c r="J324" i="3"/>
  <c r="J390" i="3"/>
  <c r="J346" i="3"/>
  <c r="J113" i="3"/>
  <c r="J359" i="3"/>
  <c r="J90" i="3"/>
  <c r="J343" i="3"/>
  <c r="J316" i="3"/>
  <c r="J336" i="3"/>
  <c r="J352" i="3"/>
  <c r="J71" i="3"/>
  <c r="J264" i="3"/>
  <c r="J241" i="3"/>
  <c r="J96" i="3"/>
  <c r="J160" i="3"/>
  <c r="J191" i="3"/>
  <c r="J377" i="3"/>
  <c r="J91" i="3"/>
  <c r="J66" i="3"/>
  <c r="J373" i="3"/>
  <c r="J174" i="3"/>
  <c r="J322" i="3"/>
  <c r="J319" i="3"/>
  <c r="J318" i="3"/>
  <c r="J199" i="3"/>
  <c r="J337" i="3"/>
  <c r="J385" i="3"/>
  <c r="J367" i="3"/>
  <c r="J305" i="3"/>
  <c r="J282" i="3"/>
  <c r="J327" i="3"/>
  <c r="J268" i="3"/>
  <c r="J125" i="3"/>
  <c r="J101" i="3"/>
  <c r="J358" i="3"/>
  <c r="J376" i="3"/>
  <c r="J77" i="3"/>
  <c r="J317" i="3"/>
  <c r="J312" i="3"/>
  <c r="J366" i="3"/>
  <c r="J334" i="3"/>
  <c r="J277" i="3"/>
  <c r="J331" i="3"/>
  <c r="J379" i="3"/>
  <c r="J150" i="3"/>
  <c r="J196" i="3"/>
  <c r="J83" i="3"/>
  <c r="J246" i="3"/>
  <c r="J192" i="3"/>
  <c r="J372" i="3"/>
  <c r="J361" i="3"/>
  <c r="J58" i="3"/>
  <c r="J61" i="3"/>
  <c r="J48" i="3"/>
  <c r="J45" i="3"/>
  <c r="J52" i="3"/>
  <c r="J36" i="3"/>
  <c r="J54" i="3"/>
  <c r="J26" i="3"/>
  <c r="J40" i="3"/>
  <c r="J43" i="3"/>
  <c r="J28" i="3"/>
  <c r="J51" i="3"/>
  <c r="J39" i="3"/>
  <c r="J24" i="3"/>
  <c r="J60" i="3"/>
  <c r="J55" i="3"/>
  <c r="J57" i="3"/>
  <c r="J42" i="3"/>
  <c r="J30" i="3"/>
  <c r="J37" i="3"/>
  <c r="J29" i="3"/>
  <c r="J34" i="3"/>
  <c r="J35" i="3"/>
  <c r="J41" i="3"/>
  <c r="J47" i="3"/>
  <c r="J38" i="3"/>
  <c r="J32" i="3"/>
  <c r="J53" i="3"/>
  <c r="J46" i="3"/>
  <c r="J44" i="3"/>
  <c r="J23" i="3"/>
  <c r="J49" i="3"/>
  <c r="J25" i="3"/>
  <c r="J56" i="3"/>
  <c r="J50" i="3"/>
  <c r="J59" i="3"/>
  <c r="J33" i="3"/>
  <c r="J27" i="3"/>
  <c r="J31" i="3"/>
  <c r="J22" i="3"/>
  <c r="R7" i="3"/>
  <c r="R8" i="3" s="1"/>
  <c r="S10" i="3"/>
  <c r="O7" i="3"/>
  <c r="O8" i="3" s="1"/>
  <c r="Q10" i="3"/>
  <c r="N10" i="3"/>
  <c r="J21" i="3" l="1"/>
  <c r="B22" i="11" l="1"/>
  <c r="B48" i="11"/>
  <c r="B49" i="11" s="1"/>
  <c r="B39" i="11"/>
  <c r="B9" i="11"/>
  <c r="B10" i="11" s="1"/>
  <c r="B6" i="11"/>
  <c r="B24" i="11" l="1"/>
  <c r="B26" i="11" s="1"/>
  <c r="B30" i="11"/>
  <c r="B40" i="11"/>
  <c r="B16" i="11"/>
  <c r="B11" i="11"/>
  <c r="B34" i="11" l="1"/>
  <c r="B35" i="11" s="1"/>
  <c r="B62" i="11"/>
  <c r="B63" i="11" s="1"/>
  <c r="B73" i="11" s="1"/>
  <c r="B27" i="11"/>
  <c r="B29" i="11" s="1"/>
  <c r="B41" i="11"/>
  <c r="B50" i="11"/>
  <c r="B55" i="11" s="1"/>
  <c r="B59" i="11" s="1"/>
  <c r="B71" i="11" l="1"/>
  <c r="B72" i="11" s="1"/>
  <c r="B74" i="11"/>
  <c r="B61" i="11"/>
  <c r="B56" i="11"/>
  <c r="B57" i="11" s="1"/>
  <c r="B58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Mort, Paul R</author>
  </authors>
  <commentList>
    <comment ref="B76" authorId="0" shapeId="0" xr:uid="{5D6B402F-5FCA-4A33-84A2-21E2076A201C}">
      <text>
        <r>
          <rPr>
            <sz val="9"/>
            <color indexed="81"/>
            <rFont val="Tahoma"/>
            <family val="2"/>
          </rPr>
          <t>Changeover requires wash &amp; dry; must be &gt;= 1 hr</t>
        </r>
      </text>
    </comment>
  </commentList>
</comments>
</file>

<file path=xl/sharedStrings.xml><?xml version="1.0" encoding="utf-8"?>
<sst xmlns="http://schemas.openxmlformats.org/spreadsheetml/2006/main" count="194" uniqueCount="110">
  <si>
    <t>tile mass, g</t>
  </si>
  <si>
    <t>tiles/case</t>
  </si>
  <si>
    <t>cases/y</t>
  </si>
  <si>
    <t>takt, s</t>
  </si>
  <si>
    <t>shifts/y</t>
  </si>
  <si>
    <t>tiles/shift</t>
  </si>
  <si>
    <t>Capacity of each silo (red, white), kg</t>
  </si>
  <si>
    <t>avail s/shift, adjusted for uptime</t>
  </si>
  <si>
    <t>tile making cycle time, s</t>
  </si>
  <si>
    <t>uptime in downstream flow</t>
  </si>
  <si>
    <t>avail time for C/O, s/shift</t>
  </si>
  <si>
    <t>Tile press</t>
  </si>
  <si>
    <t>Tile making process reliability (uptime):</t>
  </si>
  <si>
    <t>Glazing</t>
  </si>
  <si>
    <t>Firing</t>
  </si>
  <si>
    <t>Tile making C/O's</t>
  </si>
  <si>
    <t>Tile Making (press, glaze, fire)</t>
  </si>
  <si>
    <t>gross case mass, kg</t>
  </si>
  <si>
    <t>C/T, s</t>
  </si>
  <si>
    <t>avail time per shift for C/O, s</t>
  </si>
  <si>
    <t>avail time per shift, s</t>
  </si>
  <si>
    <t># of tile product variations</t>
  </si>
  <si>
    <t>tiles/y</t>
  </si>
  <si>
    <t>work weeks per year (eq. 240 days/y)</t>
  </si>
  <si>
    <t>truck shipping capacity, MT</t>
  </si>
  <si>
    <t>Daily shipments required</t>
  </si>
  <si>
    <t>Ship to customers, single shift operation</t>
  </si>
  <si>
    <t>average cases/product</t>
  </si>
  <si>
    <t>average total case inventory</t>
  </si>
  <si>
    <t>average days of inventory</t>
  </si>
  <si>
    <t>days/y (single shift)</t>
  </si>
  <si>
    <t>avg C/O time, h</t>
  </si>
  <si>
    <t>status</t>
  </si>
  <si>
    <t>Granules from Silos</t>
  </si>
  <si>
    <t>graunule consumption, kg/shift</t>
  </si>
  <si>
    <t>C/O time, m</t>
  </si>
  <si>
    <t>Glazing spray C/O, m</t>
  </si>
  <si>
    <t>… per week</t>
  </si>
  <si>
    <t>shifts/week</t>
  </si>
  <si>
    <t>Packing to FG, single shift operation</t>
  </si>
  <si>
    <t>Finished Tiles</t>
  </si>
  <si>
    <t>Finished Goods</t>
  </si>
  <si>
    <t>Pitch Qty, tiles</t>
  </si>
  <si>
    <t>avg cases shipped / day</t>
  </si>
  <si>
    <t>avg cases packed / day</t>
  </si>
  <si>
    <t>Pitch Qty, cases</t>
  </si>
  <si>
    <t>Pitch time, m</t>
  </si>
  <si>
    <t xml:space="preserve">Granulation process:  </t>
  </si>
  <si>
    <t>Wet</t>
  </si>
  <si>
    <t>required uptime</t>
  </si>
  <si>
    <r>
      <t xml:space="preserve">Black = Labels; </t>
    </r>
    <r>
      <rPr>
        <sz val="14"/>
        <color rgb="FFFF0000"/>
        <rFont val="Calibri"/>
        <family val="2"/>
        <scheme val="minor"/>
      </rPr>
      <t>Red = Adjustable Parameters;</t>
    </r>
    <r>
      <rPr>
        <sz val="14"/>
        <color theme="4"/>
        <rFont val="Calibri"/>
        <family val="2"/>
        <scheme val="minor"/>
      </rPr>
      <t xml:space="preserve"> Blue = Calculations</t>
    </r>
  </si>
  <si>
    <t>Green background indicates Kaizen needed.</t>
  </si>
  <si>
    <t>Assumption based on stated "on average, there are ~3600 kg of dried granules in storage silos after the spray dryer."</t>
  </si>
  <si>
    <t>Number of granule storage silos after Spray-Drying, before Tile Making</t>
  </si>
  <si>
    <r>
      <t xml:space="preserve">Black = Labels; </t>
    </r>
    <r>
      <rPr>
        <sz val="14"/>
        <color rgb="FFFF0000"/>
        <rFont val="Calibri"/>
        <family val="2"/>
        <scheme val="minor"/>
      </rPr>
      <t>Red = Parameters</t>
    </r>
  </si>
  <si>
    <t>Constants…</t>
  </si>
  <si>
    <t>achievable EPEx, # of shifts</t>
  </si>
  <si>
    <t>required EPEx, # of shifts</t>
  </si>
  <si>
    <t>achievable Packing EPEx, # of shifts</t>
  </si>
  <si>
    <t>process lines</t>
  </si>
  <si>
    <t>work days/week</t>
  </si>
  <si>
    <t>cases/shift</t>
  </si>
  <si>
    <t>Per shift</t>
  </si>
  <si>
    <t>customer</t>
  </si>
  <si>
    <t>shitfs/y</t>
  </si>
  <si>
    <t>vol, cases</t>
  </si>
  <si>
    <t>C/T, tile</t>
  </si>
  <si>
    <t>C/T, case</t>
  </si>
  <si>
    <t>months</t>
  </si>
  <si>
    <t>Shifts</t>
  </si>
  <si>
    <t>pitches/shift</t>
  </si>
  <si>
    <t>Pitch size needed</t>
  </si>
  <si>
    <t>C/O, s</t>
  </si>
  <si>
    <t>Pitch size, cases</t>
  </si>
  <si>
    <t>5-day, total 12 shifts/week</t>
  </si>
  <si>
    <t>Average rate, kg/h</t>
  </si>
  <si>
    <t>Solids concentration</t>
  </si>
  <si>
    <t>days/week</t>
  </si>
  <si>
    <t>Drying load, kg/wk</t>
  </si>
  <si>
    <t>product styles (mix)</t>
  </si>
  <si>
    <t>uptime</t>
  </si>
  <si>
    <t>max C/O's per shift</t>
  </si>
  <si>
    <t>Current</t>
  </si>
  <si>
    <t>max possible C/O's per shift</t>
  </si>
  <si>
    <t>Net mass shipment, MT / day</t>
  </si>
  <si>
    <t>max inventory</t>
  </si>
  <si>
    <t>max accumulated, prev production shifts</t>
  </si>
  <si>
    <t># clay bodies</t>
  </si>
  <si>
    <t># glazes</t>
  </si>
  <si>
    <t>cases/month</t>
  </si>
  <si>
    <t># tile styles (dies)</t>
  </si>
  <si>
    <t>body</t>
  </si>
  <si>
    <t>style</t>
  </si>
  <si>
    <t>glaze</t>
  </si>
  <si>
    <t>W</t>
  </si>
  <si>
    <t>R</t>
  </si>
  <si>
    <t>c</t>
  </si>
  <si>
    <t>a</t>
  </si>
  <si>
    <t>g</t>
  </si>
  <si>
    <t>b</t>
  </si>
  <si>
    <t>current</t>
  </si>
  <si>
    <t>new</t>
  </si>
  <si>
    <t>#</t>
  </si>
  <si>
    <t>C/O</t>
  </si>
  <si>
    <t>C/O time</t>
  </si>
  <si>
    <t>Wt avg C/O time, m</t>
  </si>
  <si>
    <t>Tile press C/O (style or clay body), m</t>
  </si>
  <si>
    <t>uptime%</t>
  </si>
  <si>
    <t>C/O's / shift (min 1 for cleanout or C/O)</t>
  </si>
  <si>
    <t>Drying load, kg/hr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</si>
</sst>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5">
    <xf numFmtId="0" fontId="0" fillId="0" borderId="0" xfId="0"/>
    <xf numFmtId="11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right" vertical="center" wrapText="1"/>
    </xf>
    <xf numFmtId="2" fontId="4" fillId="0" borderId="0" xfId="0" applyNumberFormat="1" applyFont="1"/>
    <xf numFmtId="164" fontId="4" fillId="0" borderId="0" xfId="0" applyNumberFormat="1" applyFont="1"/>
    <xf numFmtId="164" fontId="4" fillId="0" borderId="0" xfId="0" applyNumberFormat="1" applyFont="1" applyFill="1" applyBorder="1"/>
    <xf numFmtId="164" fontId="1" fillId="0" borderId="0" xfId="0" applyNumberFormat="1" applyFont="1"/>
    <xf numFmtId="1" fontId="4" fillId="0" borderId="0" xfId="0" applyNumberFormat="1" applyFont="1" applyFill="1" applyBorder="1"/>
    <xf numFmtId="164" fontId="1" fillId="0" borderId="0" xfId="0" applyNumberFormat="1" applyFont="1" applyFill="1" applyBorder="1"/>
    <xf numFmtId="165" fontId="1" fillId="0" borderId="0" xfId="1" applyNumberFormat="1" applyFont="1" applyFill="1" applyBorder="1"/>
    <xf numFmtId="0" fontId="0" fillId="0" borderId="0" xfId="0" applyFill="1" applyBorder="1" applyAlignment="1">
      <alignment horizontal="left" indent="1"/>
    </xf>
    <xf numFmtId="165" fontId="4" fillId="0" borderId="0" xfId="1" applyNumberFormat="1" applyFont="1" applyFill="1" applyBorder="1"/>
    <xf numFmtId="0" fontId="1" fillId="0" borderId="0" xfId="0" applyFont="1" applyFill="1" applyBorder="1"/>
    <xf numFmtId="1" fontId="4" fillId="0" borderId="0" xfId="0" applyNumberFormat="1" applyFont="1"/>
    <xf numFmtId="0" fontId="0" fillId="0" borderId="0" xfId="0" applyAlignment="1">
      <alignment horizontal="left" wrapText="1" indent="1"/>
    </xf>
    <xf numFmtId="0" fontId="0" fillId="0" borderId="0" xfId="0" applyFill="1" applyAlignment="1">
      <alignment horizontal="left" indent="1"/>
    </xf>
    <xf numFmtId="0" fontId="0" fillId="0" borderId="0" xfId="0" applyFill="1" applyBorder="1" applyAlignment="1">
      <alignment horizontal="left" indent="2"/>
    </xf>
    <xf numFmtId="2" fontId="4" fillId="0" borderId="0" xfId="0" applyNumberFormat="1" applyFont="1" applyFill="1" applyBorder="1"/>
    <xf numFmtId="1" fontId="1" fillId="0" borderId="0" xfId="0" applyNumberFormat="1" applyFont="1"/>
    <xf numFmtId="0" fontId="3" fillId="2" borderId="0" xfId="0" applyFont="1" applyFill="1" applyBorder="1" applyAlignment="1">
      <alignment horizontal="center"/>
    </xf>
    <xf numFmtId="2" fontId="1" fillId="0" borderId="0" xfId="0" applyNumberFormat="1" applyFont="1"/>
    <xf numFmtId="9" fontId="4" fillId="0" borderId="0" xfId="0" applyNumberFormat="1" applyFont="1"/>
    <xf numFmtId="0" fontId="0" fillId="0" borderId="0" xfId="0" applyAlignment="1">
      <alignment horizontal="left" vertical="center" wrapText="1" indent="1"/>
    </xf>
    <xf numFmtId="0" fontId="5" fillId="0" borderId="0" xfId="0" applyFont="1" applyFill="1" applyBorder="1" applyAlignment="1">
      <alignment horizontal="left" indent="2"/>
    </xf>
    <xf numFmtId="0" fontId="0" fillId="0" borderId="0" xfId="0" applyAlignment="1">
      <alignment horizontal="right" indent="1"/>
    </xf>
    <xf numFmtId="0" fontId="0" fillId="0" borderId="0" xfId="0" applyFill="1" applyBorder="1" applyAlignment="1">
      <alignment horizontal="right" indent="1"/>
    </xf>
    <xf numFmtId="0" fontId="6" fillId="0" borderId="0" xfId="0" applyFont="1"/>
    <xf numFmtId="0" fontId="9" fillId="0" borderId="0" xfId="0" applyFont="1" applyAlignment="1">
      <alignment horizontal="right" indent="1"/>
    </xf>
    <xf numFmtId="0" fontId="0" fillId="5" borderId="0" xfId="0" applyFill="1" applyBorder="1" applyAlignment="1">
      <alignment horizontal="left"/>
    </xf>
    <xf numFmtId="0" fontId="0" fillId="6" borderId="0" xfId="0" applyFont="1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0" fillId="6" borderId="0" xfId="0" applyFill="1" applyAlignment="1">
      <alignment vertical="center" wrapText="1"/>
    </xf>
    <xf numFmtId="0" fontId="0" fillId="6" borderId="0" xfId="0" applyFill="1"/>
    <xf numFmtId="0" fontId="5" fillId="3" borderId="0" xfId="0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164" fontId="0" fillId="4" borderId="0" xfId="0" applyNumberFormat="1" applyFill="1" applyAlignment="1">
      <alignment horizontal="center"/>
    </xf>
    <xf numFmtId="9" fontId="1" fillId="0" borderId="0" xfId="0" applyNumberFormat="1" applyFont="1"/>
    <xf numFmtId="0" fontId="4" fillId="0" borderId="0" xfId="0" applyFont="1" applyFill="1" applyBorder="1"/>
    <xf numFmtId="9" fontId="4" fillId="0" borderId="0" xfId="1" applyFont="1" applyFill="1" applyBorder="1"/>
    <xf numFmtId="0" fontId="0" fillId="0" borderId="0" xfId="0" applyAlignment="1">
      <alignment horizontal="right"/>
    </xf>
    <xf numFmtId="0" fontId="6" fillId="7" borderId="0" xfId="0" applyFont="1" applyFill="1"/>
  </cellXfs>
  <cellStyles count="2">
    <cellStyle name="Normal" xfId="0" builtinId="0"/>
    <cellStyle name="Percent" xfId="1" builtinId="5"/>
  </cellStyles>
  <dxfs count="5">
    <dxf>
      <fill>
        <patternFill>
          <bgColor rgb="FF92D050"/>
        </patternFill>
      </fill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9C02-B227-4CEA-BEC7-D595E7758DBF}">
  <dimension ref="A1:S393"/>
  <sheetViews>
    <sheetView workbookViewId="0">
      <selection activeCell="B11" sqref="B11"/>
    </sheetView>
  </sheetViews>
  <sheetFormatPr defaultColWidth="8.77734375" defaultRowHeight="14.4" x14ac:dyDescent="0.3"/>
  <cols>
    <col min="1" max="1" width="65.109375" customWidth="1"/>
    <col min="10" max="10" width="15.109375" customWidth="1"/>
    <col min="11" max="19" width="6.77734375" customWidth="1"/>
  </cols>
  <sheetData>
    <row r="1" spans="1:19" s="30" customFormat="1" ht="18" x14ac:dyDescent="0.35">
      <c r="A1" s="30" t="s">
        <v>54</v>
      </c>
    </row>
    <row r="2" spans="1:19" x14ac:dyDescent="0.3">
      <c r="A2" t="s">
        <v>52</v>
      </c>
      <c r="J2" t="s">
        <v>64</v>
      </c>
      <c r="K2" s="4">
        <v>672</v>
      </c>
    </row>
    <row r="3" spans="1:19" x14ac:dyDescent="0.3">
      <c r="A3" s="28" t="s">
        <v>53</v>
      </c>
      <c r="B3" s="4">
        <v>2</v>
      </c>
      <c r="J3" t="s">
        <v>62</v>
      </c>
      <c r="K3">
        <v>1</v>
      </c>
      <c r="L3">
        <v>2</v>
      </c>
      <c r="M3">
        <v>3</v>
      </c>
      <c r="N3">
        <v>4</v>
      </c>
      <c r="O3">
        <v>5</v>
      </c>
      <c r="P3">
        <v>6</v>
      </c>
      <c r="Q3">
        <v>7</v>
      </c>
      <c r="R3">
        <v>8</v>
      </c>
      <c r="S3">
        <v>9</v>
      </c>
    </row>
    <row r="4" spans="1:19" x14ac:dyDescent="0.3">
      <c r="A4" s="28" t="s">
        <v>6</v>
      </c>
      <c r="B4" s="4">
        <v>4000</v>
      </c>
      <c r="J4" t="s">
        <v>63</v>
      </c>
      <c r="K4" s="4">
        <v>9</v>
      </c>
      <c r="L4" s="4">
        <v>12</v>
      </c>
      <c r="M4" s="4">
        <v>12</v>
      </c>
      <c r="N4" s="4">
        <v>12.5</v>
      </c>
      <c r="O4" s="4">
        <v>13</v>
      </c>
      <c r="P4" s="4">
        <v>13.5</v>
      </c>
      <c r="Q4" s="4">
        <v>13.5</v>
      </c>
      <c r="R4" s="4">
        <v>14</v>
      </c>
      <c r="S4" s="4">
        <v>14.4</v>
      </c>
    </row>
    <row r="5" spans="1:19" x14ac:dyDescent="0.3">
      <c r="A5" s="31" t="s">
        <v>55</v>
      </c>
      <c r="B5" s="4"/>
      <c r="D5" t="s">
        <v>104</v>
      </c>
      <c r="J5" t="s">
        <v>65</v>
      </c>
      <c r="K5" s="4">
        <v>10</v>
      </c>
      <c r="L5" s="4">
        <v>10</v>
      </c>
      <c r="M5" s="4">
        <v>10</v>
      </c>
      <c r="N5" s="4">
        <v>10</v>
      </c>
      <c r="O5" s="4">
        <v>10</v>
      </c>
      <c r="P5" s="4">
        <v>10</v>
      </c>
      <c r="Q5" s="4">
        <v>10</v>
      </c>
      <c r="R5" s="4">
        <v>10</v>
      </c>
      <c r="S5" s="4">
        <v>10</v>
      </c>
    </row>
    <row r="6" spans="1:19" x14ac:dyDescent="0.3">
      <c r="A6" s="28" t="s">
        <v>0</v>
      </c>
      <c r="B6" s="4">
        <v>375</v>
      </c>
      <c r="J6" t="s">
        <v>61</v>
      </c>
      <c r="K6">
        <f t="shared" ref="K6:S6" si="0">K4*K5</f>
        <v>90</v>
      </c>
      <c r="L6">
        <f t="shared" si="0"/>
        <v>120</v>
      </c>
      <c r="M6">
        <f t="shared" si="0"/>
        <v>120</v>
      </c>
      <c r="N6">
        <f t="shared" si="0"/>
        <v>125</v>
      </c>
      <c r="O6">
        <f t="shared" si="0"/>
        <v>130</v>
      </c>
      <c r="P6">
        <f t="shared" si="0"/>
        <v>135</v>
      </c>
      <c r="Q6">
        <f t="shared" si="0"/>
        <v>135</v>
      </c>
      <c r="R6">
        <f t="shared" si="0"/>
        <v>140</v>
      </c>
      <c r="S6">
        <f t="shared" si="0"/>
        <v>144</v>
      </c>
    </row>
    <row r="7" spans="1:19" x14ac:dyDescent="0.3">
      <c r="A7" s="28" t="s">
        <v>87</v>
      </c>
      <c r="B7" s="4">
        <v>2</v>
      </c>
      <c r="D7">
        <v>20</v>
      </c>
      <c r="J7" t="s">
        <v>2</v>
      </c>
      <c r="K7">
        <f t="shared" ref="K7:S7" si="1">$K2*K6</f>
        <v>60480</v>
      </c>
      <c r="L7">
        <f t="shared" si="1"/>
        <v>80640</v>
      </c>
      <c r="M7">
        <f t="shared" si="1"/>
        <v>80640</v>
      </c>
      <c r="N7">
        <f t="shared" si="1"/>
        <v>84000</v>
      </c>
      <c r="O7">
        <f t="shared" si="1"/>
        <v>87360</v>
      </c>
      <c r="P7">
        <f t="shared" si="1"/>
        <v>90720</v>
      </c>
      <c r="Q7">
        <f t="shared" si="1"/>
        <v>90720</v>
      </c>
      <c r="R7">
        <f t="shared" si="1"/>
        <v>94080</v>
      </c>
      <c r="S7">
        <f t="shared" si="1"/>
        <v>96768</v>
      </c>
    </row>
    <row r="8" spans="1:19" x14ac:dyDescent="0.3">
      <c r="A8" s="28" t="s">
        <v>90</v>
      </c>
      <c r="B8" s="4">
        <v>5</v>
      </c>
      <c r="D8">
        <v>20</v>
      </c>
      <c r="J8" t="s">
        <v>89</v>
      </c>
      <c r="K8">
        <f>K7/12</f>
        <v>5040</v>
      </c>
      <c r="L8">
        <f t="shared" ref="L8:S8" si="2">L7/12</f>
        <v>6720</v>
      </c>
      <c r="M8">
        <f t="shared" si="2"/>
        <v>6720</v>
      </c>
      <c r="N8">
        <f t="shared" si="2"/>
        <v>7000</v>
      </c>
      <c r="O8">
        <f t="shared" si="2"/>
        <v>7280</v>
      </c>
      <c r="P8">
        <f t="shared" si="2"/>
        <v>7560</v>
      </c>
      <c r="Q8">
        <f t="shared" si="2"/>
        <v>7560</v>
      </c>
      <c r="R8">
        <f t="shared" si="2"/>
        <v>7840</v>
      </c>
      <c r="S8">
        <f t="shared" si="2"/>
        <v>8064</v>
      </c>
    </row>
    <row r="9" spans="1:19" x14ac:dyDescent="0.3">
      <c r="A9" s="28" t="s">
        <v>88</v>
      </c>
      <c r="B9" s="4">
        <v>4</v>
      </c>
      <c r="D9">
        <v>10</v>
      </c>
      <c r="J9" t="s">
        <v>70</v>
      </c>
      <c r="K9" s="4">
        <f>8</f>
        <v>8</v>
      </c>
      <c r="L9" s="4">
        <f>8</f>
        <v>8</v>
      </c>
      <c r="M9" s="4">
        <f>8</f>
        <v>8</v>
      </c>
      <c r="N9" s="4">
        <v>6</v>
      </c>
      <c r="O9" s="4">
        <v>6</v>
      </c>
      <c r="P9" s="4">
        <v>6</v>
      </c>
      <c r="Q9" s="4">
        <v>4</v>
      </c>
      <c r="R9" s="4">
        <v>5</v>
      </c>
      <c r="S9" s="4">
        <v>3</v>
      </c>
    </row>
    <row r="10" spans="1:19" x14ac:dyDescent="0.3">
      <c r="A10" s="29" t="s">
        <v>21</v>
      </c>
      <c r="B10" s="11">
        <f>PRODUCT(B7:B9)</f>
        <v>40</v>
      </c>
      <c r="J10" t="s">
        <v>71</v>
      </c>
      <c r="K10">
        <f t="shared" ref="K10:S10" si="3">ROUNDUP(K6/K9,0)</f>
        <v>12</v>
      </c>
      <c r="L10">
        <f t="shared" si="3"/>
        <v>15</v>
      </c>
      <c r="M10">
        <f t="shared" si="3"/>
        <v>15</v>
      </c>
      <c r="N10">
        <f t="shared" si="3"/>
        <v>21</v>
      </c>
      <c r="O10">
        <f t="shared" si="3"/>
        <v>22</v>
      </c>
      <c r="P10">
        <f t="shared" si="3"/>
        <v>23</v>
      </c>
      <c r="Q10">
        <f t="shared" si="3"/>
        <v>34</v>
      </c>
      <c r="R10">
        <f t="shared" si="3"/>
        <v>28</v>
      </c>
      <c r="S10">
        <f t="shared" si="3"/>
        <v>48</v>
      </c>
    </row>
    <row r="11" spans="1:19" x14ac:dyDescent="0.3">
      <c r="A11" s="28" t="s">
        <v>1</v>
      </c>
      <c r="B11" s="4">
        <v>24</v>
      </c>
      <c r="J11" t="s">
        <v>73</v>
      </c>
      <c r="K11" s="4">
        <v>15</v>
      </c>
      <c r="L11" s="4">
        <v>15</v>
      </c>
      <c r="M11" s="4">
        <v>17</v>
      </c>
      <c r="N11" s="4">
        <v>21</v>
      </c>
      <c r="O11" s="4">
        <v>23</v>
      </c>
      <c r="P11" s="4">
        <v>23</v>
      </c>
      <c r="Q11" s="4">
        <v>34</v>
      </c>
      <c r="R11" s="4">
        <v>28</v>
      </c>
      <c r="S11" s="4">
        <v>48</v>
      </c>
    </row>
    <row r="12" spans="1:19" x14ac:dyDescent="0.3">
      <c r="A12" s="28" t="s">
        <v>17</v>
      </c>
      <c r="B12" s="4">
        <v>10</v>
      </c>
      <c r="J12" t="s">
        <v>72</v>
      </c>
      <c r="K12" s="4">
        <v>600</v>
      </c>
      <c r="L12" s="4">
        <v>600</v>
      </c>
      <c r="M12" s="4">
        <v>300</v>
      </c>
      <c r="N12" s="4">
        <v>600</v>
      </c>
      <c r="O12" s="4">
        <v>300</v>
      </c>
      <c r="P12" s="4">
        <v>300</v>
      </c>
      <c r="Q12" s="4">
        <v>600</v>
      </c>
      <c r="R12" s="4">
        <v>300</v>
      </c>
      <c r="S12" s="4">
        <v>300</v>
      </c>
    </row>
    <row r="13" spans="1:19" x14ac:dyDescent="0.3">
      <c r="A13" s="28" t="s">
        <v>23</v>
      </c>
      <c r="B13" s="4">
        <v>48</v>
      </c>
    </row>
    <row r="14" spans="1:19" x14ac:dyDescent="0.3">
      <c r="A14" s="28" t="s">
        <v>20</v>
      </c>
      <c r="B14" s="4">
        <v>28800</v>
      </c>
      <c r="C14" s="5"/>
      <c r="J14" t="s">
        <v>68</v>
      </c>
      <c r="K14">
        <v>1</v>
      </c>
    </row>
    <row r="15" spans="1:19" x14ac:dyDescent="0.3">
      <c r="A15" s="28" t="s">
        <v>24</v>
      </c>
      <c r="B15" s="4">
        <v>3</v>
      </c>
      <c r="J15" t="s">
        <v>69</v>
      </c>
      <c r="K15">
        <f>K2*K14/12</f>
        <v>56</v>
      </c>
    </row>
    <row r="16" spans="1:19" x14ac:dyDescent="0.3">
      <c r="D16" s="1"/>
      <c r="E16" s="1"/>
      <c r="F16" s="1"/>
    </row>
    <row r="17" spans="1:11" x14ac:dyDescent="0.3">
      <c r="J17" t="s">
        <v>66</v>
      </c>
      <c r="K17">
        <v>8</v>
      </c>
    </row>
    <row r="18" spans="1:11" x14ac:dyDescent="0.3">
      <c r="J18" t="s">
        <v>67</v>
      </c>
      <c r="K18">
        <f>K17*24</f>
        <v>192</v>
      </c>
    </row>
    <row r="20" spans="1:11" x14ac:dyDescent="0.3">
      <c r="G20" t="s">
        <v>103</v>
      </c>
    </row>
    <row r="21" spans="1:11" x14ac:dyDescent="0.3">
      <c r="A21" s="43" t="s">
        <v>102</v>
      </c>
      <c r="B21" t="s">
        <v>91</v>
      </c>
      <c r="C21" t="s">
        <v>92</v>
      </c>
      <c r="D21" t="s">
        <v>93</v>
      </c>
      <c r="E21" t="s">
        <v>100</v>
      </c>
      <c r="F21" t="s">
        <v>101</v>
      </c>
      <c r="G21" t="s">
        <v>91</v>
      </c>
      <c r="H21" t="s">
        <v>92</v>
      </c>
      <c r="I21" t="s">
        <v>93</v>
      </c>
      <c r="J21">
        <f ca="1">AVERAGE(J22:J393)</f>
        <v>18.870967741935484</v>
      </c>
    </row>
    <row r="22" spans="1:11" x14ac:dyDescent="0.3">
      <c r="A22" s="43">
        <v>1</v>
      </c>
      <c r="B22" t="s">
        <v>95</v>
      </c>
      <c r="C22">
        <v>1</v>
      </c>
      <c r="D22" t="s">
        <v>96</v>
      </c>
      <c r="E22">
        <f ca="1">ROUNDUP(40*RAND(),0)</f>
        <v>16</v>
      </c>
      <c r="F22">
        <f ca="1">ROUNDUP(40*RAND(),0)</f>
        <v>13</v>
      </c>
      <c r="G22" t="b">
        <f ca="1">IF(INDEX($B$22:$B$61,MATCH(E22,$A$22:$A$61,0))=INDEX($B$22:$B$61,MATCH(F22,$A$22:$A$61,0)),FALSE,TRUE)</f>
        <v>0</v>
      </c>
      <c r="H22" t="b">
        <f ca="1">IF(INDEX($C$22:$C$61,MATCH(E22,$A$22:$A$61,0))=INDEX($C$22:$C$61,MATCH(F22,$A$22:$A$61,0)),FALSE,TRUE)</f>
        <v>0</v>
      </c>
      <c r="I22" t="b">
        <f ca="1">IF(INDEX($D$22:$D$61,MATCH(E22,$A$22:$A$61,0))=INDEX($D$22:$D$61,MATCH(F22,$A$22:$A$61,0)),FALSE,TRUE)</f>
        <v>1</v>
      </c>
      <c r="J22">
        <f ca="1">MAX(G22*$D$7,H22*$D$8,I22*$D$9)</f>
        <v>10</v>
      </c>
    </row>
    <row r="23" spans="1:11" x14ac:dyDescent="0.3">
      <c r="A23" s="43">
        <f>A22+1</f>
        <v>2</v>
      </c>
      <c r="B23" t="s">
        <v>95</v>
      </c>
      <c r="C23">
        <v>1</v>
      </c>
      <c r="D23" t="s">
        <v>97</v>
      </c>
      <c r="E23">
        <f t="shared" ref="E23:F62" ca="1" si="4">ROUNDUP(40*RAND(),0)</f>
        <v>19</v>
      </c>
      <c r="F23">
        <f t="shared" ca="1" si="4"/>
        <v>30</v>
      </c>
      <c r="G23" t="b">
        <f t="shared" ref="G23:G60" ca="1" si="5">IF(INDEX($B$22:$B$61,MATCH(E23,$A$22:$A$61,0))=INDEX($B$22:$B$61,MATCH(F23,$A$22:$A$61,0)),FALSE,TRUE)</f>
        <v>1</v>
      </c>
      <c r="H23" t="b">
        <f t="shared" ref="H23:H60" ca="1" si="6">IF(INDEX($C$22:$C$61,MATCH(E23,$A$22:$A$61,0))=INDEX($C$22:$C$61,MATCH(F23,$A$22:$A$61,0)),FALSE,TRUE)</f>
        <v>1</v>
      </c>
      <c r="I23" t="b">
        <f t="shared" ref="I23:I60" ca="1" si="7">IF(INDEX($D$22:$D$61,MATCH(E23,$A$22:$A$61,0))=INDEX($D$22:$D$61,MATCH(F23,$A$22:$A$61,0)),FALSE,TRUE)</f>
        <v>1</v>
      </c>
      <c r="J23">
        <f t="shared" ref="J23:J60" ca="1" si="8">MAX(G23*$D$7,H23*$D$8,I23*$D$9)</f>
        <v>20</v>
      </c>
    </row>
    <row r="24" spans="1:11" x14ac:dyDescent="0.3">
      <c r="A24" s="43">
        <f t="shared" ref="A24:A61" si="9">A23+1</f>
        <v>3</v>
      </c>
      <c r="B24" t="s">
        <v>95</v>
      </c>
      <c r="C24">
        <v>1</v>
      </c>
      <c r="D24" t="s">
        <v>98</v>
      </c>
      <c r="E24">
        <f t="shared" ca="1" si="4"/>
        <v>32</v>
      </c>
      <c r="F24">
        <f t="shared" ca="1" si="4"/>
        <v>31</v>
      </c>
      <c r="G24" t="b">
        <f t="shared" ca="1" si="5"/>
        <v>0</v>
      </c>
      <c r="H24" t="b">
        <f t="shared" ca="1" si="6"/>
        <v>0</v>
      </c>
      <c r="I24" t="b">
        <f t="shared" ca="1" si="7"/>
        <v>1</v>
      </c>
      <c r="J24">
        <f t="shared" ca="1" si="8"/>
        <v>10</v>
      </c>
    </row>
    <row r="25" spans="1:11" x14ac:dyDescent="0.3">
      <c r="A25" s="43">
        <f t="shared" si="9"/>
        <v>4</v>
      </c>
      <c r="B25" t="s">
        <v>95</v>
      </c>
      <c r="C25">
        <v>1</v>
      </c>
      <c r="D25" t="s">
        <v>99</v>
      </c>
      <c r="E25">
        <f t="shared" ca="1" si="4"/>
        <v>11</v>
      </c>
      <c r="F25">
        <f t="shared" ca="1" si="4"/>
        <v>39</v>
      </c>
      <c r="G25" t="b">
        <f t="shared" ca="1" si="5"/>
        <v>1</v>
      </c>
      <c r="H25" t="b">
        <f t="shared" ca="1" si="6"/>
        <v>1</v>
      </c>
      <c r="I25" t="b">
        <f t="shared" ca="1" si="7"/>
        <v>0</v>
      </c>
      <c r="J25">
        <f t="shared" ca="1" si="8"/>
        <v>20</v>
      </c>
    </row>
    <row r="26" spans="1:11" x14ac:dyDescent="0.3">
      <c r="A26" s="43">
        <f t="shared" si="9"/>
        <v>5</v>
      </c>
      <c r="B26" t="s">
        <v>95</v>
      </c>
      <c r="C26">
        <v>2</v>
      </c>
      <c r="D26" t="s">
        <v>96</v>
      </c>
      <c r="E26">
        <f t="shared" ca="1" si="4"/>
        <v>30</v>
      </c>
      <c r="F26">
        <f t="shared" ca="1" si="4"/>
        <v>8</v>
      </c>
      <c r="G26" t="b">
        <f t="shared" ca="1" si="5"/>
        <v>1</v>
      </c>
      <c r="H26" t="b">
        <f t="shared" ca="1" si="6"/>
        <v>1</v>
      </c>
      <c r="I26" t="b">
        <f t="shared" ca="1" si="7"/>
        <v>1</v>
      </c>
      <c r="J26">
        <f t="shared" ca="1" si="8"/>
        <v>20</v>
      </c>
    </row>
    <row r="27" spans="1:11" x14ac:dyDescent="0.3">
      <c r="A27" s="43">
        <f t="shared" si="9"/>
        <v>6</v>
      </c>
      <c r="B27" t="s">
        <v>95</v>
      </c>
      <c r="C27">
        <v>2</v>
      </c>
      <c r="D27" t="s">
        <v>97</v>
      </c>
      <c r="E27">
        <f t="shared" ca="1" si="4"/>
        <v>9</v>
      </c>
      <c r="F27">
        <f t="shared" ca="1" si="4"/>
        <v>21</v>
      </c>
      <c r="G27" t="b">
        <f t="shared" ca="1" si="5"/>
        <v>1</v>
      </c>
      <c r="H27" t="b">
        <f t="shared" ca="1" si="6"/>
        <v>1</v>
      </c>
      <c r="I27" t="b">
        <f t="shared" ca="1" si="7"/>
        <v>0</v>
      </c>
      <c r="J27">
        <f t="shared" ca="1" si="8"/>
        <v>20</v>
      </c>
    </row>
    <row r="28" spans="1:11" x14ac:dyDescent="0.3">
      <c r="A28" s="43">
        <f t="shared" si="9"/>
        <v>7</v>
      </c>
      <c r="B28" t="s">
        <v>95</v>
      </c>
      <c r="C28">
        <v>2</v>
      </c>
      <c r="D28" t="s">
        <v>98</v>
      </c>
      <c r="E28">
        <f t="shared" ca="1" si="4"/>
        <v>31</v>
      </c>
      <c r="F28">
        <f t="shared" ca="1" si="4"/>
        <v>34</v>
      </c>
      <c r="G28" t="b">
        <f t="shared" ca="1" si="5"/>
        <v>0</v>
      </c>
      <c r="H28" t="b">
        <f t="shared" ca="1" si="6"/>
        <v>1</v>
      </c>
      <c r="I28" t="b">
        <f t="shared" ca="1" si="7"/>
        <v>1</v>
      </c>
      <c r="J28">
        <f t="shared" ca="1" si="8"/>
        <v>20</v>
      </c>
    </row>
    <row r="29" spans="1:11" x14ac:dyDescent="0.3">
      <c r="A29" s="43">
        <f t="shared" si="9"/>
        <v>8</v>
      </c>
      <c r="B29" t="s">
        <v>95</v>
      </c>
      <c r="C29">
        <v>2</v>
      </c>
      <c r="D29" t="s">
        <v>99</v>
      </c>
      <c r="E29">
        <f t="shared" ca="1" si="4"/>
        <v>8</v>
      </c>
      <c r="F29">
        <f t="shared" ca="1" si="4"/>
        <v>22</v>
      </c>
      <c r="G29" t="b">
        <f t="shared" ca="1" si="5"/>
        <v>1</v>
      </c>
      <c r="H29" t="b">
        <f t="shared" ca="1" si="6"/>
        <v>1</v>
      </c>
      <c r="I29" t="b">
        <f t="shared" ca="1" si="7"/>
        <v>1</v>
      </c>
      <c r="J29">
        <f t="shared" ca="1" si="8"/>
        <v>20</v>
      </c>
    </row>
    <row r="30" spans="1:11" x14ac:dyDescent="0.3">
      <c r="A30" s="43">
        <f t="shared" si="9"/>
        <v>9</v>
      </c>
      <c r="B30" t="s">
        <v>95</v>
      </c>
      <c r="C30">
        <v>3</v>
      </c>
      <c r="D30" t="s">
        <v>96</v>
      </c>
      <c r="E30">
        <f t="shared" ca="1" si="4"/>
        <v>39</v>
      </c>
      <c r="F30">
        <f t="shared" ca="1" si="4"/>
        <v>26</v>
      </c>
      <c r="G30" t="b">
        <f t="shared" ca="1" si="5"/>
        <v>0</v>
      </c>
      <c r="H30" t="b">
        <f t="shared" ca="1" si="6"/>
        <v>1</v>
      </c>
      <c r="I30" t="b">
        <f t="shared" ca="1" si="7"/>
        <v>1</v>
      </c>
      <c r="J30">
        <f t="shared" ca="1" si="8"/>
        <v>20</v>
      </c>
    </row>
    <row r="31" spans="1:11" x14ac:dyDescent="0.3">
      <c r="A31" s="43">
        <f t="shared" si="9"/>
        <v>10</v>
      </c>
      <c r="B31" t="s">
        <v>95</v>
      </c>
      <c r="C31">
        <v>3</v>
      </c>
      <c r="D31" t="s">
        <v>97</v>
      </c>
      <c r="E31">
        <f t="shared" ca="1" si="4"/>
        <v>5</v>
      </c>
      <c r="F31">
        <f t="shared" ca="1" si="4"/>
        <v>13</v>
      </c>
      <c r="G31" t="b">
        <f t="shared" ca="1" si="5"/>
        <v>0</v>
      </c>
      <c r="H31" t="b">
        <f t="shared" ca="1" si="6"/>
        <v>1</v>
      </c>
      <c r="I31" t="b">
        <f t="shared" ca="1" si="7"/>
        <v>0</v>
      </c>
      <c r="J31">
        <f t="shared" ca="1" si="8"/>
        <v>20</v>
      </c>
    </row>
    <row r="32" spans="1:11" x14ac:dyDescent="0.3">
      <c r="A32" s="43">
        <f t="shared" si="9"/>
        <v>11</v>
      </c>
      <c r="B32" t="s">
        <v>95</v>
      </c>
      <c r="C32">
        <v>3</v>
      </c>
      <c r="D32" t="s">
        <v>98</v>
      </c>
      <c r="E32">
        <f t="shared" ca="1" si="4"/>
        <v>5</v>
      </c>
      <c r="F32">
        <f t="shared" ca="1" si="4"/>
        <v>30</v>
      </c>
      <c r="G32" t="b">
        <f t="shared" ca="1" si="5"/>
        <v>1</v>
      </c>
      <c r="H32" t="b">
        <f t="shared" ca="1" si="6"/>
        <v>1</v>
      </c>
      <c r="I32" t="b">
        <f t="shared" ca="1" si="7"/>
        <v>1</v>
      </c>
      <c r="J32">
        <f t="shared" ca="1" si="8"/>
        <v>20</v>
      </c>
    </row>
    <row r="33" spans="1:10" x14ac:dyDescent="0.3">
      <c r="A33" s="43">
        <f t="shared" si="9"/>
        <v>12</v>
      </c>
      <c r="B33" t="s">
        <v>95</v>
      </c>
      <c r="C33">
        <v>3</v>
      </c>
      <c r="D33" t="s">
        <v>99</v>
      </c>
      <c r="E33">
        <f t="shared" ca="1" si="4"/>
        <v>20</v>
      </c>
      <c r="F33">
        <f t="shared" ca="1" si="4"/>
        <v>9</v>
      </c>
      <c r="G33" t="b">
        <f t="shared" ca="1" si="5"/>
        <v>0</v>
      </c>
      <c r="H33" t="b">
        <f t="shared" ca="1" si="6"/>
        <v>1</v>
      </c>
      <c r="I33" t="b">
        <f t="shared" ca="1" si="7"/>
        <v>1</v>
      </c>
      <c r="J33">
        <f t="shared" ca="1" si="8"/>
        <v>20</v>
      </c>
    </row>
    <row r="34" spans="1:10" x14ac:dyDescent="0.3">
      <c r="A34" s="43">
        <f t="shared" si="9"/>
        <v>13</v>
      </c>
      <c r="B34" t="s">
        <v>95</v>
      </c>
      <c r="C34">
        <v>4</v>
      </c>
      <c r="D34" t="s">
        <v>96</v>
      </c>
      <c r="E34">
        <f t="shared" ca="1" si="4"/>
        <v>22</v>
      </c>
      <c r="F34">
        <f t="shared" ca="1" si="4"/>
        <v>13</v>
      </c>
      <c r="G34" t="b">
        <f t="shared" ca="1" si="5"/>
        <v>1</v>
      </c>
      <c r="H34" t="b">
        <f t="shared" ca="1" si="6"/>
        <v>1</v>
      </c>
      <c r="I34" t="b">
        <f t="shared" ca="1" si="7"/>
        <v>1</v>
      </c>
      <c r="J34">
        <f t="shared" ca="1" si="8"/>
        <v>20</v>
      </c>
    </row>
    <row r="35" spans="1:10" x14ac:dyDescent="0.3">
      <c r="A35" s="43">
        <f t="shared" si="9"/>
        <v>14</v>
      </c>
      <c r="B35" t="s">
        <v>95</v>
      </c>
      <c r="C35">
        <v>4</v>
      </c>
      <c r="D35" t="s">
        <v>97</v>
      </c>
      <c r="E35">
        <f t="shared" ca="1" si="4"/>
        <v>5</v>
      </c>
      <c r="F35">
        <f t="shared" ca="1" si="4"/>
        <v>23</v>
      </c>
      <c r="G35" t="b">
        <f t="shared" ca="1" si="5"/>
        <v>1</v>
      </c>
      <c r="H35" t="b">
        <f t="shared" ca="1" si="6"/>
        <v>1</v>
      </c>
      <c r="I35" t="b">
        <f t="shared" ca="1" si="7"/>
        <v>1</v>
      </c>
      <c r="J35">
        <f t="shared" ca="1" si="8"/>
        <v>20</v>
      </c>
    </row>
    <row r="36" spans="1:10" x14ac:dyDescent="0.3">
      <c r="A36" s="43">
        <f t="shared" si="9"/>
        <v>15</v>
      </c>
      <c r="B36" t="s">
        <v>95</v>
      </c>
      <c r="C36">
        <v>4</v>
      </c>
      <c r="D36" t="s">
        <v>98</v>
      </c>
      <c r="E36">
        <f t="shared" ca="1" si="4"/>
        <v>10</v>
      </c>
      <c r="F36">
        <f t="shared" ca="1" si="4"/>
        <v>27</v>
      </c>
      <c r="G36" t="b">
        <f t="shared" ca="1" si="5"/>
        <v>1</v>
      </c>
      <c r="H36" t="b">
        <f t="shared" ca="1" si="6"/>
        <v>1</v>
      </c>
      <c r="I36" t="b">
        <f t="shared" ca="1" si="7"/>
        <v>1</v>
      </c>
      <c r="J36">
        <f t="shared" ca="1" si="8"/>
        <v>20</v>
      </c>
    </row>
    <row r="37" spans="1:10" x14ac:dyDescent="0.3">
      <c r="A37" s="43">
        <f t="shared" si="9"/>
        <v>16</v>
      </c>
      <c r="B37" t="s">
        <v>95</v>
      </c>
      <c r="C37">
        <v>4</v>
      </c>
      <c r="D37" t="s">
        <v>99</v>
      </c>
      <c r="E37">
        <f t="shared" ca="1" si="4"/>
        <v>22</v>
      </c>
      <c r="F37">
        <f t="shared" ca="1" si="4"/>
        <v>17</v>
      </c>
      <c r="G37" t="b">
        <f t="shared" ca="1" si="5"/>
        <v>1</v>
      </c>
      <c r="H37" t="b">
        <f t="shared" ca="1" si="6"/>
        <v>1</v>
      </c>
      <c r="I37" t="b">
        <f t="shared" ca="1" si="7"/>
        <v>1</v>
      </c>
      <c r="J37">
        <f t="shared" ca="1" si="8"/>
        <v>20</v>
      </c>
    </row>
    <row r="38" spans="1:10" x14ac:dyDescent="0.3">
      <c r="A38" s="43">
        <f t="shared" si="9"/>
        <v>17</v>
      </c>
      <c r="B38" t="s">
        <v>95</v>
      </c>
      <c r="C38">
        <v>5</v>
      </c>
      <c r="D38" t="s">
        <v>96</v>
      </c>
      <c r="E38">
        <f t="shared" ca="1" si="4"/>
        <v>3</v>
      </c>
      <c r="F38">
        <f t="shared" ca="1" si="4"/>
        <v>38</v>
      </c>
      <c r="G38" t="b">
        <f t="shared" ca="1" si="5"/>
        <v>1</v>
      </c>
      <c r="H38" t="b">
        <f t="shared" ca="1" si="6"/>
        <v>1</v>
      </c>
      <c r="I38" t="b">
        <f t="shared" ca="1" si="7"/>
        <v>1</v>
      </c>
      <c r="J38">
        <f t="shared" ca="1" si="8"/>
        <v>20</v>
      </c>
    </row>
    <row r="39" spans="1:10" x14ac:dyDescent="0.3">
      <c r="A39" s="43">
        <f t="shared" si="9"/>
        <v>18</v>
      </c>
      <c r="B39" t="s">
        <v>95</v>
      </c>
      <c r="C39">
        <v>5</v>
      </c>
      <c r="D39" t="s">
        <v>97</v>
      </c>
      <c r="E39">
        <f t="shared" ca="1" si="4"/>
        <v>23</v>
      </c>
      <c r="F39">
        <f t="shared" ca="1" si="4"/>
        <v>20</v>
      </c>
      <c r="G39" t="b">
        <f t="shared" ca="1" si="5"/>
        <v>1</v>
      </c>
      <c r="H39" t="b">
        <f t="shared" ca="1" si="6"/>
        <v>1</v>
      </c>
      <c r="I39" t="b">
        <f t="shared" ca="1" si="7"/>
        <v>1</v>
      </c>
      <c r="J39">
        <f t="shared" ca="1" si="8"/>
        <v>20</v>
      </c>
    </row>
    <row r="40" spans="1:10" x14ac:dyDescent="0.3">
      <c r="A40" s="43">
        <f t="shared" si="9"/>
        <v>19</v>
      </c>
      <c r="B40" t="s">
        <v>95</v>
      </c>
      <c r="C40">
        <v>5</v>
      </c>
      <c r="D40" t="s">
        <v>98</v>
      </c>
      <c r="E40">
        <f t="shared" ca="1" si="4"/>
        <v>19</v>
      </c>
      <c r="F40">
        <f t="shared" ca="1" si="4"/>
        <v>20</v>
      </c>
      <c r="G40" t="b">
        <f t="shared" ca="1" si="5"/>
        <v>0</v>
      </c>
      <c r="H40" t="b">
        <f t="shared" ca="1" si="6"/>
        <v>0</v>
      </c>
      <c r="I40" t="b">
        <f t="shared" ca="1" si="7"/>
        <v>1</v>
      </c>
      <c r="J40">
        <f t="shared" ca="1" si="8"/>
        <v>10</v>
      </c>
    </row>
    <row r="41" spans="1:10" x14ac:dyDescent="0.3">
      <c r="A41" s="43">
        <f t="shared" si="9"/>
        <v>20</v>
      </c>
      <c r="B41" t="s">
        <v>95</v>
      </c>
      <c r="C41">
        <v>5</v>
      </c>
      <c r="D41" t="s">
        <v>99</v>
      </c>
      <c r="E41">
        <f t="shared" ca="1" si="4"/>
        <v>17</v>
      </c>
      <c r="F41">
        <f t="shared" ca="1" si="4"/>
        <v>15</v>
      </c>
      <c r="G41" t="b">
        <f t="shared" ca="1" si="5"/>
        <v>0</v>
      </c>
      <c r="H41" t="b">
        <f t="shared" ca="1" si="6"/>
        <v>1</v>
      </c>
      <c r="I41" t="b">
        <f t="shared" ca="1" si="7"/>
        <v>1</v>
      </c>
      <c r="J41">
        <f t="shared" ca="1" si="8"/>
        <v>20</v>
      </c>
    </row>
    <row r="42" spans="1:10" x14ac:dyDescent="0.3">
      <c r="A42" s="43">
        <f t="shared" si="9"/>
        <v>21</v>
      </c>
      <c r="B42" t="s">
        <v>94</v>
      </c>
      <c r="C42">
        <v>1</v>
      </c>
      <c r="D42" t="s">
        <v>96</v>
      </c>
      <c r="E42">
        <f t="shared" ca="1" si="4"/>
        <v>28</v>
      </c>
      <c r="F42">
        <f t="shared" ca="1" si="4"/>
        <v>6</v>
      </c>
      <c r="G42" t="b">
        <f t="shared" ca="1" si="5"/>
        <v>1</v>
      </c>
      <c r="H42" t="b">
        <f t="shared" ca="1" si="6"/>
        <v>0</v>
      </c>
      <c r="I42" t="b">
        <f t="shared" ca="1" si="7"/>
        <v>1</v>
      </c>
      <c r="J42">
        <f t="shared" ca="1" si="8"/>
        <v>20</v>
      </c>
    </row>
    <row r="43" spans="1:10" x14ac:dyDescent="0.3">
      <c r="A43" s="43">
        <f t="shared" si="9"/>
        <v>22</v>
      </c>
      <c r="B43" t="s">
        <v>94</v>
      </c>
      <c r="C43">
        <v>1</v>
      </c>
      <c r="D43" t="s">
        <v>97</v>
      </c>
      <c r="E43">
        <f t="shared" ca="1" si="4"/>
        <v>40</v>
      </c>
      <c r="F43">
        <f t="shared" ca="1" si="4"/>
        <v>37</v>
      </c>
      <c r="G43" t="b">
        <f t="shared" ca="1" si="5"/>
        <v>0</v>
      </c>
      <c r="H43" t="b">
        <f t="shared" ca="1" si="6"/>
        <v>0</v>
      </c>
      <c r="I43" t="b">
        <f t="shared" ca="1" si="7"/>
        <v>1</v>
      </c>
      <c r="J43">
        <f t="shared" ca="1" si="8"/>
        <v>10</v>
      </c>
    </row>
    <row r="44" spans="1:10" x14ac:dyDescent="0.3">
      <c r="A44" s="43">
        <f t="shared" si="9"/>
        <v>23</v>
      </c>
      <c r="B44" t="s">
        <v>94</v>
      </c>
      <c r="C44">
        <v>1</v>
      </c>
      <c r="D44" t="s">
        <v>98</v>
      </c>
      <c r="E44">
        <f t="shared" ca="1" si="4"/>
        <v>33</v>
      </c>
      <c r="F44">
        <f t="shared" ca="1" si="4"/>
        <v>17</v>
      </c>
      <c r="G44" t="b">
        <f t="shared" ca="1" si="5"/>
        <v>1</v>
      </c>
      <c r="H44" t="b">
        <f t="shared" ca="1" si="6"/>
        <v>1</v>
      </c>
      <c r="I44" t="b">
        <f t="shared" ca="1" si="7"/>
        <v>0</v>
      </c>
      <c r="J44">
        <f t="shared" ca="1" si="8"/>
        <v>20</v>
      </c>
    </row>
    <row r="45" spans="1:10" x14ac:dyDescent="0.3">
      <c r="A45" s="43">
        <f t="shared" si="9"/>
        <v>24</v>
      </c>
      <c r="B45" t="s">
        <v>94</v>
      </c>
      <c r="C45">
        <v>1</v>
      </c>
      <c r="D45" t="s">
        <v>99</v>
      </c>
      <c r="E45">
        <f t="shared" ca="1" si="4"/>
        <v>6</v>
      </c>
      <c r="F45">
        <f t="shared" ca="1" si="4"/>
        <v>35</v>
      </c>
      <c r="G45" t="b">
        <f t="shared" ca="1" si="5"/>
        <v>1</v>
      </c>
      <c r="H45" t="b">
        <f t="shared" ca="1" si="6"/>
        <v>1</v>
      </c>
      <c r="I45" t="b">
        <f t="shared" ca="1" si="7"/>
        <v>1</v>
      </c>
      <c r="J45">
        <f t="shared" ca="1" si="8"/>
        <v>20</v>
      </c>
    </row>
    <row r="46" spans="1:10" x14ac:dyDescent="0.3">
      <c r="A46" s="43">
        <f t="shared" si="9"/>
        <v>25</v>
      </c>
      <c r="B46" t="s">
        <v>94</v>
      </c>
      <c r="C46">
        <v>2</v>
      </c>
      <c r="D46" t="s">
        <v>96</v>
      </c>
      <c r="E46">
        <f t="shared" ca="1" si="4"/>
        <v>25</v>
      </c>
      <c r="F46">
        <f t="shared" ca="1" si="4"/>
        <v>30</v>
      </c>
      <c r="G46" t="b">
        <f t="shared" ca="1" si="5"/>
        <v>0</v>
      </c>
      <c r="H46" t="b">
        <f t="shared" ca="1" si="6"/>
        <v>1</v>
      </c>
      <c r="I46" t="b">
        <f t="shared" ca="1" si="7"/>
        <v>1</v>
      </c>
      <c r="J46">
        <f t="shared" ca="1" si="8"/>
        <v>20</v>
      </c>
    </row>
    <row r="47" spans="1:10" x14ac:dyDescent="0.3">
      <c r="A47" s="43">
        <f t="shared" si="9"/>
        <v>26</v>
      </c>
      <c r="B47" t="s">
        <v>94</v>
      </c>
      <c r="C47">
        <v>2</v>
      </c>
      <c r="D47" t="s">
        <v>97</v>
      </c>
      <c r="E47">
        <f t="shared" ca="1" si="4"/>
        <v>3</v>
      </c>
      <c r="F47">
        <f t="shared" ca="1" si="4"/>
        <v>31</v>
      </c>
      <c r="G47" t="b">
        <f t="shared" ca="1" si="5"/>
        <v>1</v>
      </c>
      <c r="H47" t="b">
        <f t="shared" ca="1" si="6"/>
        <v>1</v>
      </c>
      <c r="I47" t="b">
        <f t="shared" ca="1" si="7"/>
        <v>0</v>
      </c>
      <c r="J47">
        <f t="shared" ca="1" si="8"/>
        <v>20</v>
      </c>
    </row>
    <row r="48" spans="1:10" x14ac:dyDescent="0.3">
      <c r="A48" s="43">
        <f t="shared" si="9"/>
        <v>27</v>
      </c>
      <c r="B48" t="s">
        <v>94</v>
      </c>
      <c r="C48">
        <v>2</v>
      </c>
      <c r="D48" t="s">
        <v>98</v>
      </c>
      <c r="E48">
        <f t="shared" ca="1" si="4"/>
        <v>7</v>
      </c>
      <c r="F48">
        <f t="shared" ca="1" si="4"/>
        <v>20</v>
      </c>
      <c r="G48" t="b">
        <f t="shared" ca="1" si="5"/>
        <v>0</v>
      </c>
      <c r="H48" t="b">
        <f t="shared" ca="1" si="6"/>
        <v>1</v>
      </c>
      <c r="I48" t="b">
        <f t="shared" ca="1" si="7"/>
        <v>1</v>
      </c>
      <c r="J48">
        <f t="shared" ca="1" si="8"/>
        <v>20</v>
      </c>
    </row>
    <row r="49" spans="1:10" x14ac:dyDescent="0.3">
      <c r="A49" s="43">
        <f t="shared" si="9"/>
        <v>28</v>
      </c>
      <c r="B49" t="s">
        <v>94</v>
      </c>
      <c r="C49">
        <v>2</v>
      </c>
      <c r="D49" t="s">
        <v>99</v>
      </c>
      <c r="E49">
        <f t="shared" ca="1" si="4"/>
        <v>31</v>
      </c>
      <c r="F49">
        <f t="shared" ca="1" si="4"/>
        <v>6</v>
      </c>
      <c r="G49" t="b">
        <f t="shared" ca="1" si="5"/>
        <v>1</v>
      </c>
      <c r="H49" t="b">
        <f t="shared" ca="1" si="6"/>
        <v>1</v>
      </c>
      <c r="I49" t="b">
        <f t="shared" ca="1" si="7"/>
        <v>1</v>
      </c>
      <c r="J49">
        <f t="shared" ca="1" si="8"/>
        <v>20</v>
      </c>
    </row>
    <row r="50" spans="1:10" x14ac:dyDescent="0.3">
      <c r="A50" s="43">
        <f t="shared" si="9"/>
        <v>29</v>
      </c>
      <c r="B50" t="s">
        <v>94</v>
      </c>
      <c r="C50">
        <v>3</v>
      </c>
      <c r="D50" t="s">
        <v>96</v>
      </c>
      <c r="E50">
        <f t="shared" ca="1" si="4"/>
        <v>29</v>
      </c>
      <c r="F50">
        <f t="shared" ca="1" si="4"/>
        <v>36</v>
      </c>
      <c r="G50" t="b">
        <f t="shared" ca="1" si="5"/>
        <v>0</v>
      </c>
      <c r="H50" t="b">
        <f t="shared" ca="1" si="6"/>
        <v>1</v>
      </c>
      <c r="I50" t="b">
        <f t="shared" ca="1" si="7"/>
        <v>1</v>
      </c>
      <c r="J50">
        <f t="shared" ca="1" si="8"/>
        <v>20</v>
      </c>
    </row>
    <row r="51" spans="1:10" x14ac:dyDescent="0.3">
      <c r="A51" s="43">
        <f t="shared" si="9"/>
        <v>30</v>
      </c>
      <c r="B51" t="s">
        <v>94</v>
      </c>
      <c r="C51">
        <v>3</v>
      </c>
      <c r="D51" t="s">
        <v>97</v>
      </c>
      <c r="E51">
        <f t="shared" ca="1" si="4"/>
        <v>7</v>
      </c>
      <c r="F51">
        <f t="shared" ca="1" si="4"/>
        <v>34</v>
      </c>
      <c r="G51" t="b">
        <f t="shared" ca="1" si="5"/>
        <v>1</v>
      </c>
      <c r="H51" t="b">
        <f t="shared" ca="1" si="6"/>
        <v>1</v>
      </c>
      <c r="I51" t="b">
        <f t="shared" ca="1" si="7"/>
        <v>1</v>
      </c>
      <c r="J51">
        <f t="shared" ca="1" si="8"/>
        <v>20</v>
      </c>
    </row>
    <row r="52" spans="1:10" x14ac:dyDescent="0.3">
      <c r="A52" s="43">
        <f t="shared" si="9"/>
        <v>31</v>
      </c>
      <c r="B52" t="s">
        <v>94</v>
      </c>
      <c r="C52">
        <v>3</v>
      </c>
      <c r="D52" t="s">
        <v>98</v>
      </c>
      <c r="E52">
        <f t="shared" ca="1" si="4"/>
        <v>39</v>
      </c>
      <c r="F52">
        <f t="shared" ca="1" si="4"/>
        <v>18</v>
      </c>
      <c r="G52" t="b">
        <f t="shared" ca="1" si="5"/>
        <v>1</v>
      </c>
      <c r="H52" t="b">
        <f t="shared" ca="1" si="6"/>
        <v>0</v>
      </c>
      <c r="I52" t="b">
        <f t="shared" ca="1" si="7"/>
        <v>1</v>
      </c>
      <c r="J52">
        <f t="shared" ca="1" si="8"/>
        <v>20</v>
      </c>
    </row>
    <row r="53" spans="1:10" x14ac:dyDescent="0.3">
      <c r="A53" s="43">
        <f t="shared" si="9"/>
        <v>32</v>
      </c>
      <c r="B53" t="s">
        <v>94</v>
      </c>
      <c r="C53">
        <v>3</v>
      </c>
      <c r="D53" t="s">
        <v>99</v>
      </c>
      <c r="E53">
        <f t="shared" ca="1" si="4"/>
        <v>29</v>
      </c>
      <c r="F53">
        <f t="shared" ca="1" si="4"/>
        <v>24</v>
      </c>
      <c r="G53" t="b">
        <f t="shared" ca="1" si="5"/>
        <v>0</v>
      </c>
      <c r="H53" t="b">
        <f t="shared" ca="1" si="6"/>
        <v>1</v>
      </c>
      <c r="I53" t="b">
        <f t="shared" ca="1" si="7"/>
        <v>1</v>
      </c>
      <c r="J53">
        <f t="shared" ca="1" si="8"/>
        <v>20</v>
      </c>
    </row>
    <row r="54" spans="1:10" x14ac:dyDescent="0.3">
      <c r="A54" s="43">
        <f t="shared" si="9"/>
        <v>33</v>
      </c>
      <c r="B54" t="s">
        <v>94</v>
      </c>
      <c r="C54">
        <v>4</v>
      </c>
      <c r="D54" t="s">
        <v>96</v>
      </c>
      <c r="E54">
        <f t="shared" ca="1" si="4"/>
        <v>7</v>
      </c>
      <c r="F54">
        <f t="shared" ca="1" si="4"/>
        <v>6</v>
      </c>
      <c r="G54" t="b">
        <f t="shared" ca="1" si="5"/>
        <v>0</v>
      </c>
      <c r="H54" t="b">
        <f t="shared" ca="1" si="6"/>
        <v>0</v>
      </c>
      <c r="I54" t="b">
        <f t="shared" ca="1" si="7"/>
        <v>1</v>
      </c>
      <c r="J54">
        <f t="shared" ca="1" si="8"/>
        <v>10</v>
      </c>
    </row>
    <row r="55" spans="1:10" x14ac:dyDescent="0.3">
      <c r="A55" s="43">
        <f t="shared" si="9"/>
        <v>34</v>
      </c>
      <c r="B55" t="s">
        <v>94</v>
      </c>
      <c r="C55">
        <v>4</v>
      </c>
      <c r="D55" t="s">
        <v>97</v>
      </c>
      <c r="E55">
        <f t="shared" ca="1" si="4"/>
        <v>26</v>
      </c>
      <c r="F55">
        <f t="shared" ca="1" si="4"/>
        <v>4</v>
      </c>
      <c r="G55" t="b">
        <f t="shared" ca="1" si="5"/>
        <v>1</v>
      </c>
      <c r="H55" t="b">
        <f t="shared" ca="1" si="6"/>
        <v>1</v>
      </c>
      <c r="I55" t="b">
        <f t="shared" ca="1" si="7"/>
        <v>1</v>
      </c>
      <c r="J55">
        <f t="shared" ca="1" si="8"/>
        <v>20</v>
      </c>
    </row>
    <row r="56" spans="1:10" x14ac:dyDescent="0.3">
      <c r="A56" s="43">
        <f t="shared" si="9"/>
        <v>35</v>
      </c>
      <c r="B56" t="s">
        <v>94</v>
      </c>
      <c r="C56">
        <v>4</v>
      </c>
      <c r="D56" t="s">
        <v>98</v>
      </c>
      <c r="E56">
        <f t="shared" ca="1" si="4"/>
        <v>32</v>
      </c>
      <c r="F56">
        <f t="shared" ca="1" si="4"/>
        <v>6</v>
      </c>
      <c r="G56" t="b">
        <f t="shared" ca="1" si="5"/>
        <v>1</v>
      </c>
      <c r="H56" t="b">
        <f t="shared" ca="1" si="6"/>
        <v>1</v>
      </c>
      <c r="I56" t="b">
        <f t="shared" ca="1" si="7"/>
        <v>1</v>
      </c>
      <c r="J56">
        <f t="shared" ca="1" si="8"/>
        <v>20</v>
      </c>
    </row>
    <row r="57" spans="1:10" x14ac:dyDescent="0.3">
      <c r="A57" s="43">
        <f t="shared" si="9"/>
        <v>36</v>
      </c>
      <c r="B57" t="s">
        <v>94</v>
      </c>
      <c r="C57">
        <v>4</v>
      </c>
      <c r="D57" t="s">
        <v>99</v>
      </c>
      <c r="E57">
        <f t="shared" ca="1" si="4"/>
        <v>6</v>
      </c>
      <c r="F57">
        <f t="shared" ca="1" si="4"/>
        <v>12</v>
      </c>
      <c r="G57" t="b">
        <f t="shared" ca="1" si="5"/>
        <v>0</v>
      </c>
      <c r="H57" t="b">
        <f t="shared" ca="1" si="6"/>
        <v>1</v>
      </c>
      <c r="I57" t="b">
        <f t="shared" ca="1" si="7"/>
        <v>1</v>
      </c>
      <c r="J57">
        <f t="shared" ca="1" si="8"/>
        <v>20</v>
      </c>
    </row>
    <row r="58" spans="1:10" x14ac:dyDescent="0.3">
      <c r="A58" s="43">
        <f t="shared" si="9"/>
        <v>37</v>
      </c>
      <c r="B58" t="s">
        <v>94</v>
      </c>
      <c r="C58">
        <v>5</v>
      </c>
      <c r="D58" t="s">
        <v>96</v>
      </c>
      <c r="E58">
        <f t="shared" ca="1" si="4"/>
        <v>14</v>
      </c>
      <c r="F58">
        <f t="shared" ca="1" si="4"/>
        <v>15</v>
      </c>
      <c r="G58" t="b">
        <f t="shared" ca="1" si="5"/>
        <v>0</v>
      </c>
      <c r="H58" t="b">
        <f t="shared" ca="1" si="6"/>
        <v>0</v>
      </c>
      <c r="I58" t="b">
        <f t="shared" ca="1" si="7"/>
        <v>1</v>
      </c>
      <c r="J58">
        <f t="shared" ca="1" si="8"/>
        <v>10</v>
      </c>
    </row>
    <row r="59" spans="1:10" x14ac:dyDescent="0.3">
      <c r="A59" s="43">
        <f t="shared" si="9"/>
        <v>38</v>
      </c>
      <c r="B59" t="s">
        <v>94</v>
      </c>
      <c r="C59">
        <v>5</v>
      </c>
      <c r="D59" t="s">
        <v>97</v>
      </c>
      <c r="E59">
        <f t="shared" ca="1" si="4"/>
        <v>25</v>
      </c>
      <c r="F59">
        <f t="shared" ca="1" si="4"/>
        <v>30</v>
      </c>
      <c r="G59" t="b">
        <f t="shared" ca="1" si="5"/>
        <v>0</v>
      </c>
      <c r="H59" t="b">
        <f t="shared" ca="1" si="6"/>
        <v>1</v>
      </c>
      <c r="I59" t="b">
        <f t="shared" ca="1" si="7"/>
        <v>1</v>
      </c>
      <c r="J59">
        <f t="shared" ca="1" si="8"/>
        <v>20</v>
      </c>
    </row>
    <row r="60" spans="1:10" x14ac:dyDescent="0.3">
      <c r="A60" s="43">
        <f t="shared" si="9"/>
        <v>39</v>
      </c>
      <c r="B60" t="s">
        <v>94</v>
      </c>
      <c r="C60">
        <v>5</v>
      </c>
      <c r="D60" t="s">
        <v>98</v>
      </c>
      <c r="E60">
        <f t="shared" ca="1" si="4"/>
        <v>5</v>
      </c>
      <c r="F60">
        <f t="shared" ca="1" si="4"/>
        <v>27</v>
      </c>
      <c r="G60" t="b">
        <f t="shared" ca="1" si="5"/>
        <v>1</v>
      </c>
      <c r="H60" t="b">
        <f t="shared" ca="1" si="6"/>
        <v>0</v>
      </c>
      <c r="I60" t="b">
        <f t="shared" ca="1" si="7"/>
        <v>1</v>
      </c>
      <c r="J60">
        <f t="shared" ca="1" si="8"/>
        <v>20</v>
      </c>
    </row>
    <row r="61" spans="1:10" x14ac:dyDescent="0.3">
      <c r="A61" s="43">
        <f t="shared" si="9"/>
        <v>40</v>
      </c>
      <c r="B61" t="s">
        <v>94</v>
      </c>
      <c r="C61">
        <v>5</v>
      </c>
      <c r="D61" t="s">
        <v>99</v>
      </c>
      <c r="E61">
        <f t="shared" ca="1" si="4"/>
        <v>14</v>
      </c>
      <c r="F61">
        <f t="shared" ca="1" si="4"/>
        <v>36</v>
      </c>
      <c r="G61" t="b">
        <f t="shared" ref="G61:G124" ca="1" si="10">IF(INDEX($B$22:$B$61,MATCH(E61,$A$22:$A$61,0))=INDEX($B$22:$B$61,MATCH(F61,$A$22:$A$61,0)),FALSE,TRUE)</f>
        <v>1</v>
      </c>
      <c r="H61" t="b">
        <f t="shared" ref="H61:H124" ca="1" si="11">IF(INDEX($C$22:$C$61,MATCH(E61,$A$22:$A$61,0))=INDEX($C$22:$C$61,MATCH(F61,$A$22:$A$61,0)),FALSE,TRUE)</f>
        <v>0</v>
      </c>
      <c r="I61" t="b">
        <f t="shared" ref="I61:I124" ca="1" si="12">IF(INDEX($D$22:$D$61,MATCH(E61,$A$22:$A$61,0))=INDEX($D$22:$D$61,MATCH(F61,$A$22:$A$61,0)),FALSE,TRUE)</f>
        <v>1</v>
      </c>
      <c r="J61">
        <f t="shared" ref="J61:J124" ca="1" si="13">MAX(G61*$D$7,H61*$D$8,I61*$D$9)</f>
        <v>20</v>
      </c>
    </row>
    <row r="62" spans="1:10" x14ac:dyDescent="0.3">
      <c r="E62">
        <f t="shared" ca="1" si="4"/>
        <v>20</v>
      </c>
      <c r="F62">
        <f t="shared" ca="1" si="4"/>
        <v>11</v>
      </c>
      <c r="G62" t="b">
        <f t="shared" ca="1" si="10"/>
        <v>0</v>
      </c>
      <c r="H62" t="b">
        <f t="shared" ca="1" si="11"/>
        <v>1</v>
      </c>
      <c r="I62" t="b">
        <f t="shared" ca="1" si="12"/>
        <v>1</v>
      </c>
      <c r="J62">
        <f t="shared" ca="1" si="13"/>
        <v>20</v>
      </c>
    </row>
    <row r="63" spans="1:10" x14ac:dyDescent="0.3">
      <c r="E63">
        <f t="shared" ref="E63:F126" ca="1" si="14">ROUNDUP(40*RAND(),0)</f>
        <v>27</v>
      </c>
      <c r="F63">
        <f t="shared" ca="1" si="14"/>
        <v>30</v>
      </c>
      <c r="G63" t="b">
        <f t="shared" ca="1" si="10"/>
        <v>0</v>
      </c>
      <c r="H63" t="b">
        <f t="shared" ca="1" si="11"/>
        <v>1</v>
      </c>
      <c r="I63" t="b">
        <f t="shared" ca="1" si="12"/>
        <v>1</v>
      </c>
      <c r="J63">
        <f t="shared" ca="1" si="13"/>
        <v>20</v>
      </c>
    </row>
    <row r="64" spans="1:10" x14ac:dyDescent="0.3">
      <c r="E64">
        <f t="shared" ca="1" si="14"/>
        <v>40</v>
      </c>
      <c r="F64">
        <f t="shared" ca="1" si="14"/>
        <v>26</v>
      </c>
      <c r="G64" t="b">
        <f t="shared" ca="1" si="10"/>
        <v>0</v>
      </c>
      <c r="H64" t="b">
        <f t="shared" ca="1" si="11"/>
        <v>1</v>
      </c>
      <c r="I64" t="b">
        <f t="shared" ca="1" si="12"/>
        <v>1</v>
      </c>
      <c r="J64">
        <f t="shared" ca="1" si="13"/>
        <v>20</v>
      </c>
    </row>
    <row r="65" spans="5:10" x14ac:dyDescent="0.3">
      <c r="E65">
        <f t="shared" ca="1" si="14"/>
        <v>1</v>
      </c>
      <c r="F65">
        <f t="shared" ca="1" si="14"/>
        <v>6</v>
      </c>
      <c r="G65" t="b">
        <f t="shared" ca="1" si="10"/>
        <v>0</v>
      </c>
      <c r="H65" t="b">
        <f t="shared" ca="1" si="11"/>
        <v>1</v>
      </c>
      <c r="I65" t="b">
        <f t="shared" ca="1" si="12"/>
        <v>1</v>
      </c>
      <c r="J65">
        <f t="shared" ca="1" si="13"/>
        <v>20</v>
      </c>
    </row>
    <row r="66" spans="5:10" x14ac:dyDescent="0.3">
      <c r="E66">
        <f t="shared" ca="1" si="14"/>
        <v>9</v>
      </c>
      <c r="F66">
        <f t="shared" ca="1" si="14"/>
        <v>33</v>
      </c>
      <c r="G66" t="b">
        <f t="shared" ca="1" si="10"/>
        <v>1</v>
      </c>
      <c r="H66" t="b">
        <f t="shared" ca="1" si="11"/>
        <v>1</v>
      </c>
      <c r="I66" t="b">
        <f t="shared" ca="1" si="12"/>
        <v>0</v>
      </c>
      <c r="J66">
        <f t="shared" ca="1" si="13"/>
        <v>20</v>
      </c>
    </row>
    <row r="67" spans="5:10" x14ac:dyDescent="0.3">
      <c r="E67">
        <f t="shared" ca="1" si="14"/>
        <v>39</v>
      </c>
      <c r="F67">
        <f t="shared" ca="1" si="14"/>
        <v>24</v>
      </c>
      <c r="G67" t="b">
        <f t="shared" ca="1" si="10"/>
        <v>0</v>
      </c>
      <c r="H67" t="b">
        <f t="shared" ca="1" si="11"/>
        <v>1</v>
      </c>
      <c r="I67" t="b">
        <f t="shared" ca="1" si="12"/>
        <v>1</v>
      </c>
      <c r="J67">
        <f t="shared" ca="1" si="13"/>
        <v>20</v>
      </c>
    </row>
    <row r="68" spans="5:10" x14ac:dyDescent="0.3">
      <c r="E68">
        <f t="shared" ca="1" si="14"/>
        <v>22</v>
      </c>
      <c r="F68">
        <f t="shared" ca="1" si="14"/>
        <v>34</v>
      </c>
      <c r="G68" t="b">
        <f t="shared" ca="1" si="10"/>
        <v>0</v>
      </c>
      <c r="H68" t="b">
        <f t="shared" ca="1" si="11"/>
        <v>1</v>
      </c>
      <c r="I68" t="b">
        <f t="shared" ca="1" si="12"/>
        <v>0</v>
      </c>
      <c r="J68">
        <f t="shared" ca="1" si="13"/>
        <v>20</v>
      </c>
    </row>
    <row r="69" spans="5:10" x14ac:dyDescent="0.3">
      <c r="E69">
        <f t="shared" ca="1" si="14"/>
        <v>39</v>
      </c>
      <c r="F69">
        <f t="shared" ca="1" si="14"/>
        <v>13</v>
      </c>
      <c r="G69" t="b">
        <f t="shared" ca="1" si="10"/>
        <v>1</v>
      </c>
      <c r="H69" t="b">
        <f t="shared" ca="1" si="11"/>
        <v>1</v>
      </c>
      <c r="I69" t="b">
        <f t="shared" ca="1" si="12"/>
        <v>1</v>
      </c>
      <c r="J69">
        <f t="shared" ca="1" si="13"/>
        <v>20</v>
      </c>
    </row>
    <row r="70" spans="5:10" x14ac:dyDescent="0.3">
      <c r="E70">
        <f t="shared" ca="1" si="14"/>
        <v>2</v>
      </c>
      <c r="F70">
        <f t="shared" ca="1" si="14"/>
        <v>36</v>
      </c>
      <c r="G70" t="b">
        <f t="shared" ca="1" si="10"/>
        <v>1</v>
      </c>
      <c r="H70" t="b">
        <f t="shared" ca="1" si="11"/>
        <v>1</v>
      </c>
      <c r="I70" t="b">
        <f t="shared" ca="1" si="12"/>
        <v>1</v>
      </c>
      <c r="J70">
        <f t="shared" ca="1" si="13"/>
        <v>20</v>
      </c>
    </row>
    <row r="71" spans="5:10" x14ac:dyDescent="0.3">
      <c r="E71">
        <f t="shared" ca="1" si="14"/>
        <v>34</v>
      </c>
      <c r="F71">
        <f t="shared" ca="1" si="14"/>
        <v>5</v>
      </c>
      <c r="G71" t="b">
        <f t="shared" ca="1" si="10"/>
        <v>1</v>
      </c>
      <c r="H71" t="b">
        <f t="shared" ca="1" si="11"/>
        <v>1</v>
      </c>
      <c r="I71" t="b">
        <f t="shared" ca="1" si="12"/>
        <v>1</v>
      </c>
      <c r="J71">
        <f t="shared" ca="1" si="13"/>
        <v>20</v>
      </c>
    </row>
    <row r="72" spans="5:10" x14ac:dyDescent="0.3">
      <c r="E72">
        <f t="shared" ca="1" si="14"/>
        <v>37</v>
      </c>
      <c r="F72">
        <f t="shared" ca="1" si="14"/>
        <v>14</v>
      </c>
      <c r="G72" t="b">
        <f t="shared" ca="1" si="10"/>
        <v>1</v>
      </c>
      <c r="H72" t="b">
        <f t="shared" ca="1" si="11"/>
        <v>1</v>
      </c>
      <c r="I72" t="b">
        <f t="shared" ca="1" si="12"/>
        <v>1</v>
      </c>
      <c r="J72">
        <f t="shared" ca="1" si="13"/>
        <v>20</v>
      </c>
    </row>
    <row r="73" spans="5:10" x14ac:dyDescent="0.3">
      <c r="E73">
        <f t="shared" ca="1" si="14"/>
        <v>7</v>
      </c>
      <c r="F73">
        <f t="shared" ca="1" si="14"/>
        <v>3</v>
      </c>
      <c r="G73" t="b">
        <f t="shared" ca="1" si="10"/>
        <v>0</v>
      </c>
      <c r="H73" t="b">
        <f t="shared" ca="1" si="11"/>
        <v>1</v>
      </c>
      <c r="I73" t="b">
        <f t="shared" ca="1" si="12"/>
        <v>0</v>
      </c>
      <c r="J73">
        <f t="shared" ca="1" si="13"/>
        <v>20</v>
      </c>
    </row>
    <row r="74" spans="5:10" x14ac:dyDescent="0.3">
      <c r="E74">
        <f t="shared" ca="1" si="14"/>
        <v>24</v>
      </c>
      <c r="F74">
        <f t="shared" ca="1" si="14"/>
        <v>26</v>
      </c>
      <c r="G74" t="b">
        <f t="shared" ca="1" si="10"/>
        <v>0</v>
      </c>
      <c r="H74" t="b">
        <f t="shared" ca="1" si="11"/>
        <v>1</v>
      </c>
      <c r="I74" t="b">
        <f t="shared" ca="1" si="12"/>
        <v>1</v>
      </c>
      <c r="J74">
        <f t="shared" ca="1" si="13"/>
        <v>20</v>
      </c>
    </row>
    <row r="75" spans="5:10" x14ac:dyDescent="0.3">
      <c r="E75">
        <f t="shared" ca="1" si="14"/>
        <v>37</v>
      </c>
      <c r="F75">
        <f t="shared" ca="1" si="14"/>
        <v>7</v>
      </c>
      <c r="G75" t="b">
        <f t="shared" ca="1" si="10"/>
        <v>1</v>
      </c>
      <c r="H75" t="b">
        <f t="shared" ca="1" si="11"/>
        <v>1</v>
      </c>
      <c r="I75" t="b">
        <f t="shared" ca="1" si="12"/>
        <v>1</v>
      </c>
      <c r="J75">
        <f t="shared" ca="1" si="13"/>
        <v>20</v>
      </c>
    </row>
    <row r="76" spans="5:10" x14ac:dyDescent="0.3">
      <c r="E76">
        <f t="shared" ca="1" si="14"/>
        <v>34</v>
      </c>
      <c r="F76">
        <f t="shared" ca="1" si="14"/>
        <v>19</v>
      </c>
      <c r="G76" t="b">
        <f t="shared" ca="1" si="10"/>
        <v>1</v>
      </c>
      <c r="H76" t="b">
        <f t="shared" ca="1" si="11"/>
        <v>1</v>
      </c>
      <c r="I76" t="b">
        <f t="shared" ca="1" si="12"/>
        <v>1</v>
      </c>
      <c r="J76">
        <f t="shared" ca="1" si="13"/>
        <v>20</v>
      </c>
    </row>
    <row r="77" spans="5:10" x14ac:dyDescent="0.3">
      <c r="E77">
        <f t="shared" ca="1" si="14"/>
        <v>3</v>
      </c>
      <c r="F77">
        <f t="shared" ca="1" si="14"/>
        <v>36</v>
      </c>
      <c r="G77" t="b">
        <f t="shared" ca="1" si="10"/>
        <v>1</v>
      </c>
      <c r="H77" t="b">
        <f t="shared" ca="1" si="11"/>
        <v>1</v>
      </c>
      <c r="I77" t="b">
        <f t="shared" ca="1" si="12"/>
        <v>1</v>
      </c>
      <c r="J77">
        <f t="shared" ca="1" si="13"/>
        <v>20</v>
      </c>
    </row>
    <row r="78" spans="5:10" x14ac:dyDescent="0.3">
      <c r="E78">
        <f t="shared" ca="1" si="14"/>
        <v>1</v>
      </c>
      <c r="F78">
        <f t="shared" ca="1" si="14"/>
        <v>2</v>
      </c>
      <c r="G78" t="b">
        <f t="shared" ca="1" si="10"/>
        <v>0</v>
      </c>
      <c r="H78" t="b">
        <f t="shared" ca="1" si="11"/>
        <v>0</v>
      </c>
      <c r="I78" t="b">
        <f t="shared" ca="1" si="12"/>
        <v>1</v>
      </c>
      <c r="J78">
        <f t="shared" ca="1" si="13"/>
        <v>10</v>
      </c>
    </row>
    <row r="79" spans="5:10" x14ac:dyDescent="0.3">
      <c r="E79">
        <f t="shared" ca="1" si="14"/>
        <v>9</v>
      </c>
      <c r="F79">
        <f t="shared" ca="1" si="14"/>
        <v>35</v>
      </c>
      <c r="G79" t="b">
        <f t="shared" ca="1" si="10"/>
        <v>1</v>
      </c>
      <c r="H79" t="b">
        <f t="shared" ca="1" si="11"/>
        <v>1</v>
      </c>
      <c r="I79" t="b">
        <f t="shared" ca="1" si="12"/>
        <v>1</v>
      </c>
      <c r="J79">
        <f t="shared" ca="1" si="13"/>
        <v>20</v>
      </c>
    </row>
    <row r="80" spans="5:10" x14ac:dyDescent="0.3">
      <c r="E80">
        <f t="shared" ca="1" si="14"/>
        <v>9</v>
      </c>
      <c r="F80">
        <f t="shared" ca="1" si="14"/>
        <v>38</v>
      </c>
      <c r="G80" t="b">
        <f t="shared" ca="1" si="10"/>
        <v>1</v>
      </c>
      <c r="H80" t="b">
        <f t="shared" ca="1" si="11"/>
        <v>1</v>
      </c>
      <c r="I80" t="b">
        <f t="shared" ca="1" si="12"/>
        <v>1</v>
      </c>
      <c r="J80">
        <f t="shared" ca="1" si="13"/>
        <v>20</v>
      </c>
    </row>
    <row r="81" spans="5:10" x14ac:dyDescent="0.3">
      <c r="E81">
        <f t="shared" ca="1" si="14"/>
        <v>6</v>
      </c>
      <c r="F81">
        <f t="shared" ca="1" si="14"/>
        <v>36</v>
      </c>
      <c r="G81" t="b">
        <f t="shared" ca="1" si="10"/>
        <v>1</v>
      </c>
      <c r="H81" t="b">
        <f t="shared" ca="1" si="11"/>
        <v>1</v>
      </c>
      <c r="I81" t="b">
        <f t="shared" ca="1" si="12"/>
        <v>1</v>
      </c>
      <c r="J81">
        <f t="shared" ca="1" si="13"/>
        <v>20</v>
      </c>
    </row>
    <row r="82" spans="5:10" x14ac:dyDescent="0.3">
      <c r="E82">
        <f t="shared" ca="1" si="14"/>
        <v>4</v>
      </c>
      <c r="F82">
        <f t="shared" ca="1" si="14"/>
        <v>13</v>
      </c>
      <c r="G82" t="b">
        <f t="shared" ca="1" si="10"/>
        <v>0</v>
      </c>
      <c r="H82" t="b">
        <f t="shared" ca="1" si="11"/>
        <v>1</v>
      </c>
      <c r="I82" t="b">
        <f t="shared" ca="1" si="12"/>
        <v>1</v>
      </c>
      <c r="J82">
        <f t="shared" ca="1" si="13"/>
        <v>20</v>
      </c>
    </row>
    <row r="83" spans="5:10" x14ac:dyDescent="0.3">
      <c r="E83">
        <f t="shared" ca="1" si="14"/>
        <v>14</v>
      </c>
      <c r="F83">
        <f t="shared" ca="1" si="14"/>
        <v>23</v>
      </c>
      <c r="G83" t="b">
        <f t="shared" ca="1" si="10"/>
        <v>1</v>
      </c>
      <c r="H83" t="b">
        <f t="shared" ca="1" si="11"/>
        <v>1</v>
      </c>
      <c r="I83" t="b">
        <f t="shared" ca="1" si="12"/>
        <v>1</v>
      </c>
      <c r="J83">
        <f t="shared" ca="1" si="13"/>
        <v>20</v>
      </c>
    </row>
    <row r="84" spans="5:10" x14ac:dyDescent="0.3">
      <c r="E84">
        <f t="shared" ca="1" si="14"/>
        <v>27</v>
      </c>
      <c r="F84">
        <f t="shared" ca="1" si="14"/>
        <v>20</v>
      </c>
      <c r="G84" t="b">
        <f t="shared" ca="1" si="10"/>
        <v>1</v>
      </c>
      <c r="H84" t="b">
        <f t="shared" ca="1" si="11"/>
        <v>1</v>
      </c>
      <c r="I84" t="b">
        <f t="shared" ca="1" si="12"/>
        <v>1</v>
      </c>
      <c r="J84">
        <f t="shared" ca="1" si="13"/>
        <v>20</v>
      </c>
    </row>
    <row r="85" spans="5:10" x14ac:dyDescent="0.3">
      <c r="E85">
        <f t="shared" ca="1" si="14"/>
        <v>40</v>
      </c>
      <c r="F85">
        <f t="shared" ca="1" si="14"/>
        <v>28</v>
      </c>
      <c r="G85" t="b">
        <f t="shared" ca="1" si="10"/>
        <v>0</v>
      </c>
      <c r="H85" t="b">
        <f t="shared" ca="1" si="11"/>
        <v>1</v>
      </c>
      <c r="I85" t="b">
        <f t="shared" ca="1" si="12"/>
        <v>0</v>
      </c>
      <c r="J85">
        <f t="shared" ca="1" si="13"/>
        <v>20</v>
      </c>
    </row>
    <row r="86" spans="5:10" x14ac:dyDescent="0.3">
      <c r="E86">
        <f t="shared" ca="1" si="14"/>
        <v>12</v>
      </c>
      <c r="F86">
        <f t="shared" ca="1" si="14"/>
        <v>16</v>
      </c>
      <c r="G86" t="b">
        <f t="shared" ca="1" si="10"/>
        <v>0</v>
      </c>
      <c r="H86" t="b">
        <f t="shared" ca="1" si="11"/>
        <v>1</v>
      </c>
      <c r="I86" t="b">
        <f t="shared" ca="1" si="12"/>
        <v>0</v>
      </c>
      <c r="J86">
        <f t="shared" ca="1" si="13"/>
        <v>20</v>
      </c>
    </row>
    <row r="87" spans="5:10" x14ac:dyDescent="0.3">
      <c r="E87">
        <f t="shared" ca="1" si="14"/>
        <v>34</v>
      </c>
      <c r="F87">
        <f t="shared" ca="1" si="14"/>
        <v>19</v>
      </c>
      <c r="G87" t="b">
        <f t="shared" ca="1" si="10"/>
        <v>1</v>
      </c>
      <c r="H87" t="b">
        <f t="shared" ca="1" si="11"/>
        <v>1</v>
      </c>
      <c r="I87" t="b">
        <f t="shared" ca="1" si="12"/>
        <v>1</v>
      </c>
      <c r="J87">
        <f t="shared" ca="1" si="13"/>
        <v>20</v>
      </c>
    </row>
    <row r="88" spans="5:10" x14ac:dyDescent="0.3">
      <c r="E88">
        <f t="shared" ca="1" si="14"/>
        <v>6</v>
      </c>
      <c r="F88">
        <f t="shared" ca="1" si="14"/>
        <v>30</v>
      </c>
      <c r="G88" t="b">
        <f t="shared" ca="1" si="10"/>
        <v>1</v>
      </c>
      <c r="H88" t="b">
        <f t="shared" ca="1" si="11"/>
        <v>1</v>
      </c>
      <c r="I88" t="b">
        <f t="shared" ca="1" si="12"/>
        <v>0</v>
      </c>
      <c r="J88">
        <f t="shared" ca="1" si="13"/>
        <v>20</v>
      </c>
    </row>
    <row r="89" spans="5:10" x14ac:dyDescent="0.3">
      <c r="E89">
        <f t="shared" ca="1" si="14"/>
        <v>2</v>
      </c>
      <c r="F89">
        <f t="shared" ca="1" si="14"/>
        <v>39</v>
      </c>
      <c r="G89" t="b">
        <f t="shared" ca="1" si="10"/>
        <v>1</v>
      </c>
      <c r="H89" t="b">
        <f t="shared" ca="1" si="11"/>
        <v>1</v>
      </c>
      <c r="I89" t="b">
        <f t="shared" ca="1" si="12"/>
        <v>1</v>
      </c>
      <c r="J89">
        <f t="shared" ca="1" si="13"/>
        <v>20</v>
      </c>
    </row>
    <row r="90" spans="5:10" x14ac:dyDescent="0.3">
      <c r="E90">
        <f t="shared" ca="1" si="14"/>
        <v>24</v>
      </c>
      <c r="F90">
        <f t="shared" ca="1" si="14"/>
        <v>23</v>
      </c>
      <c r="G90" t="b">
        <f t="shared" ca="1" si="10"/>
        <v>0</v>
      </c>
      <c r="H90" t="b">
        <f t="shared" ca="1" si="11"/>
        <v>0</v>
      </c>
      <c r="I90" t="b">
        <f t="shared" ca="1" si="12"/>
        <v>1</v>
      </c>
      <c r="J90">
        <f t="shared" ca="1" si="13"/>
        <v>10</v>
      </c>
    </row>
    <row r="91" spans="5:10" x14ac:dyDescent="0.3">
      <c r="E91">
        <f t="shared" ca="1" si="14"/>
        <v>23</v>
      </c>
      <c r="F91">
        <f t="shared" ca="1" si="14"/>
        <v>22</v>
      </c>
      <c r="G91" t="b">
        <f t="shared" ca="1" si="10"/>
        <v>0</v>
      </c>
      <c r="H91" t="b">
        <f t="shared" ca="1" si="11"/>
        <v>0</v>
      </c>
      <c r="I91" t="b">
        <f t="shared" ca="1" si="12"/>
        <v>1</v>
      </c>
      <c r="J91">
        <f t="shared" ca="1" si="13"/>
        <v>10</v>
      </c>
    </row>
    <row r="92" spans="5:10" x14ac:dyDescent="0.3">
      <c r="E92">
        <f t="shared" ca="1" si="14"/>
        <v>31</v>
      </c>
      <c r="F92">
        <f t="shared" ca="1" si="14"/>
        <v>19</v>
      </c>
      <c r="G92" t="b">
        <f t="shared" ca="1" si="10"/>
        <v>1</v>
      </c>
      <c r="H92" t="b">
        <f t="shared" ca="1" si="11"/>
        <v>1</v>
      </c>
      <c r="I92" t="b">
        <f t="shared" ca="1" si="12"/>
        <v>0</v>
      </c>
      <c r="J92">
        <f t="shared" ca="1" si="13"/>
        <v>20</v>
      </c>
    </row>
    <row r="93" spans="5:10" x14ac:dyDescent="0.3">
      <c r="E93">
        <f t="shared" ca="1" si="14"/>
        <v>23</v>
      </c>
      <c r="F93">
        <f t="shared" ca="1" si="14"/>
        <v>5</v>
      </c>
      <c r="G93" t="b">
        <f t="shared" ca="1" si="10"/>
        <v>1</v>
      </c>
      <c r="H93" t="b">
        <f t="shared" ca="1" si="11"/>
        <v>1</v>
      </c>
      <c r="I93" t="b">
        <f t="shared" ca="1" si="12"/>
        <v>1</v>
      </c>
      <c r="J93">
        <f t="shared" ca="1" si="13"/>
        <v>20</v>
      </c>
    </row>
    <row r="94" spans="5:10" x14ac:dyDescent="0.3">
      <c r="E94">
        <f t="shared" ca="1" si="14"/>
        <v>39</v>
      </c>
      <c r="F94">
        <f t="shared" ca="1" si="14"/>
        <v>32</v>
      </c>
      <c r="G94" t="b">
        <f t="shared" ca="1" si="10"/>
        <v>0</v>
      </c>
      <c r="H94" t="b">
        <f t="shared" ca="1" si="11"/>
        <v>1</v>
      </c>
      <c r="I94" t="b">
        <f t="shared" ca="1" si="12"/>
        <v>1</v>
      </c>
      <c r="J94">
        <f t="shared" ca="1" si="13"/>
        <v>20</v>
      </c>
    </row>
    <row r="95" spans="5:10" x14ac:dyDescent="0.3">
      <c r="E95">
        <f t="shared" ca="1" si="14"/>
        <v>31</v>
      </c>
      <c r="F95">
        <f t="shared" ca="1" si="14"/>
        <v>11</v>
      </c>
      <c r="G95" t="b">
        <f t="shared" ca="1" si="10"/>
        <v>1</v>
      </c>
      <c r="H95" t="b">
        <f t="shared" ca="1" si="11"/>
        <v>0</v>
      </c>
      <c r="I95" t="b">
        <f t="shared" ca="1" si="12"/>
        <v>0</v>
      </c>
      <c r="J95">
        <f t="shared" ca="1" si="13"/>
        <v>20</v>
      </c>
    </row>
    <row r="96" spans="5:10" x14ac:dyDescent="0.3">
      <c r="E96">
        <f t="shared" ca="1" si="14"/>
        <v>31</v>
      </c>
      <c r="F96">
        <f t="shared" ca="1" si="14"/>
        <v>30</v>
      </c>
      <c r="G96" t="b">
        <f t="shared" ca="1" si="10"/>
        <v>0</v>
      </c>
      <c r="H96" t="b">
        <f t="shared" ca="1" si="11"/>
        <v>0</v>
      </c>
      <c r="I96" t="b">
        <f t="shared" ca="1" si="12"/>
        <v>1</v>
      </c>
      <c r="J96">
        <f t="shared" ca="1" si="13"/>
        <v>10</v>
      </c>
    </row>
    <row r="97" spans="5:10" x14ac:dyDescent="0.3">
      <c r="E97">
        <f t="shared" ca="1" si="14"/>
        <v>10</v>
      </c>
      <c r="F97">
        <f t="shared" ca="1" si="14"/>
        <v>8</v>
      </c>
      <c r="G97" t="b">
        <f t="shared" ca="1" si="10"/>
        <v>0</v>
      </c>
      <c r="H97" t="b">
        <f t="shared" ca="1" si="11"/>
        <v>1</v>
      </c>
      <c r="I97" t="b">
        <f t="shared" ca="1" si="12"/>
        <v>1</v>
      </c>
      <c r="J97">
        <f t="shared" ca="1" si="13"/>
        <v>20</v>
      </c>
    </row>
    <row r="98" spans="5:10" x14ac:dyDescent="0.3">
      <c r="E98">
        <f t="shared" ca="1" si="14"/>
        <v>33</v>
      </c>
      <c r="F98">
        <f t="shared" ca="1" si="14"/>
        <v>10</v>
      </c>
      <c r="G98" t="b">
        <f t="shared" ca="1" si="10"/>
        <v>1</v>
      </c>
      <c r="H98" t="b">
        <f t="shared" ca="1" si="11"/>
        <v>1</v>
      </c>
      <c r="I98" t="b">
        <f t="shared" ca="1" si="12"/>
        <v>1</v>
      </c>
      <c r="J98">
        <f t="shared" ca="1" si="13"/>
        <v>20</v>
      </c>
    </row>
    <row r="99" spans="5:10" x14ac:dyDescent="0.3">
      <c r="E99">
        <f t="shared" ca="1" si="14"/>
        <v>3</v>
      </c>
      <c r="F99">
        <f t="shared" ca="1" si="14"/>
        <v>22</v>
      </c>
      <c r="G99" t="b">
        <f t="shared" ca="1" si="10"/>
        <v>1</v>
      </c>
      <c r="H99" t="b">
        <f t="shared" ca="1" si="11"/>
        <v>0</v>
      </c>
      <c r="I99" t="b">
        <f t="shared" ca="1" si="12"/>
        <v>1</v>
      </c>
      <c r="J99">
        <f t="shared" ca="1" si="13"/>
        <v>20</v>
      </c>
    </row>
    <row r="100" spans="5:10" x14ac:dyDescent="0.3">
      <c r="E100">
        <f t="shared" ca="1" si="14"/>
        <v>24</v>
      </c>
      <c r="F100">
        <f t="shared" ca="1" si="14"/>
        <v>19</v>
      </c>
      <c r="G100" t="b">
        <f t="shared" ca="1" si="10"/>
        <v>1</v>
      </c>
      <c r="H100" t="b">
        <f t="shared" ca="1" si="11"/>
        <v>1</v>
      </c>
      <c r="I100" t="b">
        <f t="shared" ca="1" si="12"/>
        <v>1</v>
      </c>
      <c r="J100">
        <f t="shared" ca="1" si="13"/>
        <v>20</v>
      </c>
    </row>
    <row r="101" spans="5:10" x14ac:dyDescent="0.3">
      <c r="E101">
        <f t="shared" ca="1" si="14"/>
        <v>23</v>
      </c>
      <c r="F101">
        <f t="shared" ca="1" si="14"/>
        <v>7</v>
      </c>
      <c r="G101" t="b">
        <f t="shared" ca="1" si="10"/>
        <v>1</v>
      </c>
      <c r="H101" t="b">
        <f t="shared" ca="1" si="11"/>
        <v>1</v>
      </c>
      <c r="I101" t="b">
        <f t="shared" ca="1" si="12"/>
        <v>0</v>
      </c>
      <c r="J101">
        <f t="shared" ca="1" si="13"/>
        <v>20</v>
      </c>
    </row>
    <row r="102" spans="5:10" x14ac:dyDescent="0.3">
      <c r="E102">
        <f t="shared" ca="1" si="14"/>
        <v>9</v>
      </c>
      <c r="F102">
        <f t="shared" ca="1" si="14"/>
        <v>18</v>
      </c>
      <c r="G102" t="b">
        <f t="shared" ca="1" si="10"/>
        <v>0</v>
      </c>
      <c r="H102" t="b">
        <f t="shared" ca="1" si="11"/>
        <v>1</v>
      </c>
      <c r="I102" t="b">
        <f t="shared" ca="1" si="12"/>
        <v>1</v>
      </c>
      <c r="J102">
        <f t="shared" ca="1" si="13"/>
        <v>20</v>
      </c>
    </row>
    <row r="103" spans="5:10" x14ac:dyDescent="0.3">
      <c r="E103">
        <f t="shared" ca="1" si="14"/>
        <v>22</v>
      </c>
      <c r="F103">
        <f t="shared" ca="1" si="14"/>
        <v>23</v>
      </c>
      <c r="G103" t="b">
        <f t="shared" ca="1" si="10"/>
        <v>0</v>
      </c>
      <c r="H103" t="b">
        <f t="shared" ca="1" si="11"/>
        <v>0</v>
      </c>
      <c r="I103" t="b">
        <f t="shared" ca="1" si="12"/>
        <v>1</v>
      </c>
      <c r="J103">
        <f t="shared" ca="1" si="13"/>
        <v>10</v>
      </c>
    </row>
    <row r="104" spans="5:10" x14ac:dyDescent="0.3">
      <c r="E104">
        <f t="shared" ca="1" si="14"/>
        <v>39</v>
      </c>
      <c r="F104">
        <f t="shared" ca="1" si="14"/>
        <v>13</v>
      </c>
      <c r="G104" t="b">
        <f t="shared" ca="1" si="10"/>
        <v>1</v>
      </c>
      <c r="H104" t="b">
        <f t="shared" ca="1" si="11"/>
        <v>1</v>
      </c>
      <c r="I104" t="b">
        <f t="shared" ca="1" si="12"/>
        <v>1</v>
      </c>
      <c r="J104">
        <f t="shared" ca="1" si="13"/>
        <v>20</v>
      </c>
    </row>
    <row r="105" spans="5:10" x14ac:dyDescent="0.3">
      <c r="E105">
        <f t="shared" ca="1" si="14"/>
        <v>24</v>
      </c>
      <c r="F105">
        <f t="shared" ca="1" si="14"/>
        <v>18</v>
      </c>
      <c r="G105" t="b">
        <f t="shared" ca="1" si="10"/>
        <v>1</v>
      </c>
      <c r="H105" t="b">
        <f t="shared" ca="1" si="11"/>
        <v>1</v>
      </c>
      <c r="I105" t="b">
        <f t="shared" ca="1" si="12"/>
        <v>1</v>
      </c>
      <c r="J105">
        <f t="shared" ca="1" si="13"/>
        <v>20</v>
      </c>
    </row>
    <row r="106" spans="5:10" x14ac:dyDescent="0.3">
      <c r="E106">
        <f t="shared" ca="1" si="14"/>
        <v>37</v>
      </c>
      <c r="F106">
        <f t="shared" ca="1" si="14"/>
        <v>9</v>
      </c>
      <c r="G106" t="b">
        <f t="shared" ca="1" si="10"/>
        <v>1</v>
      </c>
      <c r="H106" t="b">
        <f t="shared" ca="1" si="11"/>
        <v>1</v>
      </c>
      <c r="I106" t="b">
        <f t="shared" ca="1" si="12"/>
        <v>0</v>
      </c>
      <c r="J106">
        <f t="shared" ca="1" si="13"/>
        <v>20</v>
      </c>
    </row>
    <row r="107" spans="5:10" x14ac:dyDescent="0.3">
      <c r="E107">
        <f t="shared" ca="1" si="14"/>
        <v>1</v>
      </c>
      <c r="F107">
        <f t="shared" ca="1" si="14"/>
        <v>27</v>
      </c>
      <c r="G107" t="b">
        <f t="shared" ca="1" si="10"/>
        <v>1</v>
      </c>
      <c r="H107" t="b">
        <f t="shared" ca="1" si="11"/>
        <v>1</v>
      </c>
      <c r="I107" t="b">
        <f t="shared" ca="1" si="12"/>
        <v>1</v>
      </c>
      <c r="J107">
        <f t="shared" ca="1" si="13"/>
        <v>20</v>
      </c>
    </row>
    <row r="108" spans="5:10" x14ac:dyDescent="0.3">
      <c r="E108">
        <f t="shared" ca="1" si="14"/>
        <v>10</v>
      </c>
      <c r="F108">
        <f t="shared" ca="1" si="14"/>
        <v>1</v>
      </c>
      <c r="G108" t="b">
        <f t="shared" ca="1" si="10"/>
        <v>0</v>
      </c>
      <c r="H108" t="b">
        <f t="shared" ca="1" si="11"/>
        <v>1</v>
      </c>
      <c r="I108" t="b">
        <f t="shared" ca="1" si="12"/>
        <v>1</v>
      </c>
      <c r="J108">
        <f t="shared" ca="1" si="13"/>
        <v>20</v>
      </c>
    </row>
    <row r="109" spans="5:10" x14ac:dyDescent="0.3">
      <c r="E109">
        <f t="shared" ca="1" si="14"/>
        <v>8</v>
      </c>
      <c r="F109">
        <f t="shared" ca="1" si="14"/>
        <v>19</v>
      </c>
      <c r="G109" t="b">
        <f t="shared" ca="1" si="10"/>
        <v>0</v>
      </c>
      <c r="H109" t="b">
        <f t="shared" ca="1" si="11"/>
        <v>1</v>
      </c>
      <c r="I109" t="b">
        <f t="shared" ca="1" si="12"/>
        <v>1</v>
      </c>
      <c r="J109">
        <f t="shared" ca="1" si="13"/>
        <v>20</v>
      </c>
    </row>
    <row r="110" spans="5:10" x14ac:dyDescent="0.3">
      <c r="E110">
        <f t="shared" ca="1" si="14"/>
        <v>26</v>
      </c>
      <c r="F110">
        <f t="shared" ca="1" si="14"/>
        <v>31</v>
      </c>
      <c r="G110" t="b">
        <f t="shared" ca="1" si="10"/>
        <v>0</v>
      </c>
      <c r="H110" t="b">
        <f t="shared" ca="1" si="11"/>
        <v>1</v>
      </c>
      <c r="I110" t="b">
        <f t="shared" ca="1" si="12"/>
        <v>1</v>
      </c>
      <c r="J110">
        <f t="shared" ca="1" si="13"/>
        <v>20</v>
      </c>
    </row>
    <row r="111" spans="5:10" x14ac:dyDescent="0.3">
      <c r="E111">
        <f t="shared" ca="1" si="14"/>
        <v>21</v>
      </c>
      <c r="F111">
        <f t="shared" ca="1" si="14"/>
        <v>1</v>
      </c>
      <c r="G111" t="b">
        <f t="shared" ca="1" si="10"/>
        <v>1</v>
      </c>
      <c r="H111" t="b">
        <f t="shared" ca="1" si="11"/>
        <v>0</v>
      </c>
      <c r="I111" t="b">
        <f t="shared" ca="1" si="12"/>
        <v>0</v>
      </c>
      <c r="J111">
        <f t="shared" ca="1" si="13"/>
        <v>20</v>
      </c>
    </row>
    <row r="112" spans="5:10" x14ac:dyDescent="0.3">
      <c r="E112">
        <f t="shared" ca="1" si="14"/>
        <v>15</v>
      </c>
      <c r="F112">
        <f t="shared" ca="1" si="14"/>
        <v>2</v>
      </c>
      <c r="G112" t="b">
        <f t="shared" ca="1" si="10"/>
        <v>0</v>
      </c>
      <c r="H112" t="b">
        <f t="shared" ca="1" si="11"/>
        <v>1</v>
      </c>
      <c r="I112" t="b">
        <f t="shared" ca="1" si="12"/>
        <v>1</v>
      </c>
      <c r="J112">
        <f t="shared" ca="1" si="13"/>
        <v>20</v>
      </c>
    </row>
    <row r="113" spans="5:10" x14ac:dyDescent="0.3">
      <c r="E113">
        <f t="shared" ca="1" si="14"/>
        <v>23</v>
      </c>
      <c r="F113">
        <f t="shared" ca="1" si="14"/>
        <v>8</v>
      </c>
      <c r="G113" t="b">
        <f t="shared" ca="1" si="10"/>
        <v>1</v>
      </c>
      <c r="H113" t="b">
        <f t="shared" ca="1" si="11"/>
        <v>1</v>
      </c>
      <c r="I113" t="b">
        <f t="shared" ca="1" si="12"/>
        <v>1</v>
      </c>
      <c r="J113">
        <f t="shared" ca="1" si="13"/>
        <v>20</v>
      </c>
    </row>
    <row r="114" spans="5:10" x14ac:dyDescent="0.3">
      <c r="E114">
        <f t="shared" ca="1" si="14"/>
        <v>37</v>
      </c>
      <c r="F114">
        <f t="shared" ca="1" si="14"/>
        <v>12</v>
      </c>
      <c r="G114" t="b">
        <f t="shared" ca="1" si="10"/>
        <v>1</v>
      </c>
      <c r="H114" t="b">
        <f t="shared" ca="1" si="11"/>
        <v>1</v>
      </c>
      <c r="I114" t="b">
        <f t="shared" ca="1" si="12"/>
        <v>1</v>
      </c>
      <c r="J114">
        <f t="shared" ca="1" si="13"/>
        <v>20</v>
      </c>
    </row>
    <row r="115" spans="5:10" x14ac:dyDescent="0.3">
      <c r="E115">
        <f t="shared" ca="1" si="14"/>
        <v>10</v>
      </c>
      <c r="F115">
        <f t="shared" ca="1" si="14"/>
        <v>3</v>
      </c>
      <c r="G115" t="b">
        <f t="shared" ca="1" si="10"/>
        <v>0</v>
      </c>
      <c r="H115" t="b">
        <f t="shared" ca="1" si="11"/>
        <v>1</v>
      </c>
      <c r="I115" t="b">
        <f t="shared" ca="1" si="12"/>
        <v>1</v>
      </c>
      <c r="J115">
        <f t="shared" ca="1" si="13"/>
        <v>20</v>
      </c>
    </row>
    <row r="116" spans="5:10" x14ac:dyDescent="0.3">
      <c r="E116">
        <f t="shared" ca="1" si="14"/>
        <v>20</v>
      </c>
      <c r="F116">
        <f t="shared" ca="1" si="14"/>
        <v>28</v>
      </c>
      <c r="G116" t="b">
        <f t="shared" ca="1" si="10"/>
        <v>1</v>
      </c>
      <c r="H116" t="b">
        <f t="shared" ca="1" si="11"/>
        <v>1</v>
      </c>
      <c r="I116" t="b">
        <f t="shared" ca="1" si="12"/>
        <v>0</v>
      </c>
      <c r="J116">
        <f t="shared" ca="1" si="13"/>
        <v>20</v>
      </c>
    </row>
    <row r="117" spans="5:10" x14ac:dyDescent="0.3">
      <c r="E117">
        <f t="shared" ca="1" si="14"/>
        <v>23</v>
      </c>
      <c r="F117">
        <f t="shared" ca="1" si="14"/>
        <v>33</v>
      </c>
      <c r="G117" t="b">
        <f t="shared" ca="1" si="10"/>
        <v>0</v>
      </c>
      <c r="H117" t="b">
        <f t="shared" ca="1" si="11"/>
        <v>1</v>
      </c>
      <c r="I117" t="b">
        <f t="shared" ca="1" si="12"/>
        <v>1</v>
      </c>
      <c r="J117">
        <f t="shared" ca="1" si="13"/>
        <v>20</v>
      </c>
    </row>
    <row r="118" spans="5:10" x14ac:dyDescent="0.3">
      <c r="E118">
        <f t="shared" ca="1" si="14"/>
        <v>21</v>
      </c>
      <c r="F118">
        <f t="shared" ca="1" si="14"/>
        <v>29</v>
      </c>
      <c r="G118" t="b">
        <f t="shared" ca="1" si="10"/>
        <v>0</v>
      </c>
      <c r="H118" t="b">
        <f t="shared" ca="1" si="11"/>
        <v>1</v>
      </c>
      <c r="I118" t="b">
        <f t="shared" ca="1" si="12"/>
        <v>0</v>
      </c>
      <c r="J118">
        <f t="shared" ca="1" si="13"/>
        <v>20</v>
      </c>
    </row>
    <row r="119" spans="5:10" x14ac:dyDescent="0.3">
      <c r="E119">
        <f t="shared" ca="1" si="14"/>
        <v>10</v>
      </c>
      <c r="F119">
        <f t="shared" ca="1" si="14"/>
        <v>38</v>
      </c>
      <c r="G119" t="b">
        <f t="shared" ca="1" si="10"/>
        <v>1</v>
      </c>
      <c r="H119" t="b">
        <f t="shared" ca="1" si="11"/>
        <v>1</v>
      </c>
      <c r="I119" t="b">
        <f t="shared" ca="1" si="12"/>
        <v>0</v>
      </c>
      <c r="J119">
        <f t="shared" ca="1" si="13"/>
        <v>20</v>
      </c>
    </row>
    <row r="120" spans="5:10" x14ac:dyDescent="0.3">
      <c r="E120">
        <f t="shared" ca="1" si="14"/>
        <v>4</v>
      </c>
      <c r="F120">
        <f t="shared" ca="1" si="14"/>
        <v>13</v>
      </c>
      <c r="G120" t="b">
        <f t="shared" ca="1" si="10"/>
        <v>0</v>
      </c>
      <c r="H120" t="b">
        <f t="shared" ca="1" si="11"/>
        <v>1</v>
      </c>
      <c r="I120" t="b">
        <f t="shared" ca="1" si="12"/>
        <v>1</v>
      </c>
      <c r="J120">
        <f t="shared" ca="1" si="13"/>
        <v>20</v>
      </c>
    </row>
    <row r="121" spans="5:10" x14ac:dyDescent="0.3">
      <c r="E121">
        <f t="shared" ca="1" si="14"/>
        <v>10</v>
      </c>
      <c r="F121">
        <f t="shared" ca="1" si="14"/>
        <v>39</v>
      </c>
      <c r="G121" t="b">
        <f t="shared" ca="1" si="10"/>
        <v>1</v>
      </c>
      <c r="H121" t="b">
        <f t="shared" ca="1" si="11"/>
        <v>1</v>
      </c>
      <c r="I121" t="b">
        <f t="shared" ca="1" si="12"/>
        <v>1</v>
      </c>
      <c r="J121">
        <f t="shared" ca="1" si="13"/>
        <v>20</v>
      </c>
    </row>
    <row r="122" spans="5:10" x14ac:dyDescent="0.3">
      <c r="E122">
        <f t="shared" ca="1" si="14"/>
        <v>40</v>
      </c>
      <c r="F122">
        <f t="shared" ca="1" si="14"/>
        <v>14</v>
      </c>
      <c r="G122" t="b">
        <f t="shared" ca="1" si="10"/>
        <v>1</v>
      </c>
      <c r="H122" t="b">
        <f t="shared" ca="1" si="11"/>
        <v>1</v>
      </c>
      <c r="I122" t="b">
        <f t="shared" ca="1" si="12"/>
        <v>1</v>
      </c>
      <c r="J122">
        <f t="shared" ca="1" si="13"/>
        <v>20</v>
      </c>
    </row>
    <row r="123" spans="5:10" x14ac:dyDescent="0.3">
      <c r="E123">
        <f t="shared" ca="1" si="14"/>
        <v>39</v>
      </c>
      <c r="F123">
        <f t="shared" ca="1" si="14"/>
        <v>6</v>
      </c>
      <c r="G123" t="b">
        <f t="shared" ca="1" si="10"/>
        <v>1</v>
      </c>
      <c r="H123" t="b">
        <f t="shared" ca="1" si="11"/>
        <v>1</v>
      </c>
      <c r="I123" t="b">
        <f t="shared" ca="1" si="12"/>
        <v>1</v>
      </c>
      <c r="J123">
        <f t="shared" ca="1" si="13"/>
        <v>20</v>
      </c>
    </row>
    <row r="124" spans="5:10" x14ac:dyDescent="0.3">
      <c r="E124">
        <f t="shared" ca="1" si="14"/>
        <v>27</v>
      </c>
      <c r="F124">
        <f t="shared" ca="1" si="14"/>
        <v>16</v>
      </c>
      <c r="G124" t="b">
        <f t="shared" ca="1" si="10"/>
        <v>1</v>
      </c>
      <c r="H124" t="b">
        <f t="shared" ca="1" si="11"/>
        <v>1</v>
      </c>
      <c r="I124" t="b">
        <f t="shared" ca="1" si="12"/>
        <v>1</v>
      </c>
      <c r="J124">
        <f t="shared" ca="1" si="13"/>
        <v>20</v>
      </c>
    </row>
    <row r="125" spans="5:10" x14ac:dyDescent="0.3">
      <c r="E125">
        <f t="shared" ca="1" si="14"/>
        <v>24</v>
      </c>
      <c r="F125">
        <f t="shared" ca="1" si="14"/>
        <v>2</v>
      </c>
      <c r="G125" t="b">
        <f t="shared" ref="G125:G188" ca="1" si="15">IF(INDEX($B$22:$B$61,MATCH(E125,$A$22:$A$61,0))=INDEX($B$22:$B$61,MATCH(F125,$A$22:$A$61,0)),FALSE,TRUE)</f>
        <v>1</v>
      </c>
      <c r="H125" t="b">
        <f t="shared" ref="H125:H188" ca="1" si="16">IF(INDEX($C$22:$C$61,MATCH(E125,$A$22:$A$61,0))=INDEX($C$22:$C$61,MATCH(F125,$A$22:$A$61,0)),FALSE,TRUE)</f>
        <v>0</v>
      </c>
      <c r="I125" t="b">
        <f t="shared" ref="I125:I188" ca="1" si="17">IF(INDEX($D$22:$D$61,MATCH(E125,$A$22:$A$61,0))=INDEX($D$22:$D$61,MATCH(F125,$A$22:$A$61,0)),FALSE,TRUE)</f>
        <v>1</v>
      </c>
      <c r="J125">
        <f t="shared" ref="J125:J188" ca="1" si="18">MAX(G125*$D$7,H125*$D$8,I125*$D$9)</f>
        <v>20</v>
      </c>
    </row>
    <row r="126" spans="5:10" x14ac:dyDescent="0.3">
      <c r="E126">
        <f t="shared" ca="1" si="14"/>
        <v>13</v>
      </c>
      <c r="F126">
        <f t="shared" ca="1" si="14"/>
        <v>1</v>
      </c>
      <c r="G126" t="b">
        <f t="shared" ca="1" si="15"/>
        <v>0</v>
      </c>
      <c r="H126" t="b">
        <f t="shared" ca="1" si="16"/>
        <v>1</v>
      </c>
      <c r="I126" t="b">
        <f t="shared" ca="1" si="17"/>
        <v>0</v>
      </c>
      <c r="J126">
        <f t="shared" ca="1" si="18"/>
        <v>20</v>
      </c>
    </row>
    <row r="127" spans="5:10" x14ac:dyDescent="0.3">
      <c r="E127">
        <f t="shared" ref="E127:F190" ca="1" si="19">ROUNDUP(40*RAND(),0)</f>
        <v>1</v>
      </c>
      <c r="F127">
        <f t="shared" ca="1" si="19"/>
        <v>40</v>
      </c>
      <c r="G127" t="b">
        <f t="shared" ca="1" si="15"/>
        <v>1</v>
      </c>
      <c r="H127" t="b">
        <f t="shared" ca="1" si="16"/>
        <v>1</v>
      </c>
      <c r="I127" t="b">
        <f t="shared" ca="1" si="17"/>
        <v>1</v>
      </c>
      <c r="J127">
        <f t="shared" ca="1" si="18"/>
        <v>20</v>
      </c>
    </row>
    <row r="128" spans="5:10" x14ac:dyDescent="0.3">
      <c r="E128">
        <f t="shared" ca="1" si="19"/>
        <v>37</v>
      </c>
      <c r="F128">
        <f t="shared" ca="1" si="19"/>
        <v>19</v>
      </c>
      <c r="G128" t="b">
        <f t="shared" ca="1" si="15"/>
        <v>1</v>
      </c>
      <c r="H128" t="b">
        <f t="shared" ca="1" si="16"/>
        <v>0</v>
      </c>
      <c r="I128" t="b">
        <f t="shared" ca="1" si="17"/>
        <v>1</v>
      </c>
      <c r="J128">
        <f t="shared" ca="1" si="18"/>
        <v>20</v>
      </c>
    </row>
    <row r="129" spans="5:10" x14ac:dyDescent="0.3">
      <c r="E129">
        <f t="shared" ca="1" si="19"/>
        <v>27</v>
      </c>
      <c r="F129">
        <f t="shared" ca="1" si="19"/>
        <v>33</v>
      </c>
      <c r="G129" t="b">
        <f t="shared" ca="1" si="15"/>
        <v>0</v>
      </c>
      <c r="H129" t="b">
        <f t="shared" ca="1" si="16"/>
        <v>1</v>
      </c>
      <c r="I129" t="b">
        <f t="shared" ca="1" si="17"/>
        <v>1</v>
      </c>
      <c r="J129">
        <f t="shared" ca="1" si="18"/>
        <v>20</v>
      </c>
    </row>
    <row r="130" spans="5:10" x14ac:dyDescent="0.3">
      <c r="E130">
        <f t="shared" ca="1" si="19"/>
        <v>38</v>
      </c>
      <c r="F130">
        <f t="shared" ca="1" si="19"/>
        <v>37</v>
      </c>
      <c r="G130" t="b">
        <f t="shared" ca="1" si="15"/>
        <v>0</v>
      </c>
      <c r="H130" t="b">
        <f t="shared" ca="1" si="16"/>
        <v>0</v>
      </c>
      <c r="I130" t="b">
        <f t="shared" ca="1" si="17"/>
        <v>1</v>
      </c>
      <c r="J130">
        <f t="shared" ca="1" si="18"/>
        <v>10</v>
      </c>
    </row>
    <row r="131" spans="5:10" x14ac:dyDescent="0.3">
      <c r="E131">
        <f t="shared" ca="1" si="19"/>
        <v>1</v>
      </c>
      <c r="F131">
        <f t="shared" ca="1" si="19"/>
        <v>11</v>
      </c>
      <c r="G131" t="b">
        <f t="shared" ca="1" si="15"/>
        <v>0</v>
      </c>
      <c r="H131" t="b">
        <f t="shared" ca="1" si="16"/>
        <v>1</v>
      </c>
      <c r="I131" t="b">
        <f t="shared" ca="1" si="17"/>
        <v>1</v>
      </c>
      <c r="J131">
        <f t="shared" ca="1" si="18"/>
        <v>20</v>
      </c>
    </row>
    <row r="132" spans="5:10" x14ac:dyDescent="0.3">
      <c r="E132">
        <f t="shared" ca="1" si="19"/>
        <v>1</v>
      </c>
      <c r="F132">
        <f t="shared" ca="1" si="19"/>
        <v>36</v>
      </c>
      <c r="G132" t="b">
        <f t="shared" ca="1" si="15"/>
        <v>1</v>
      </c>
      <c r="H132" t="b">
        <f t="shared" ca="1" si="16"/>
        <v>1</v>
      </c>
      <c r="I132" t="b">
        <f t="shared" ca="1" si="17"/>
        <v>1</v>
      </c>
      <c r="J132">
        <f t="shared" ca="1" si="18"/>
        <v>20</v>
      </c>
    </row>
    <row r="133" spans="5:10" x14ac:dyDescent="0.3">
      <c r="E133">
        <f t="shared" ca="1" si="19"/>
        <v>38</v>
      </c>
      <c r="F133">
        <f t="shared" ca="1" si="19"/>
        <v>26</v>
      </c>
      <c r="G133" t="b">
        <f t="shared" ca="1" si="15"/>
        <v>0</v>
      </c>
      <c r="H133" t="b">
        <f t="shared" ca="1" si="16"/>
        <v>1</v>
      </c>
      <c r="I133" t="b">
        <f t="shared" ca="1" si="17"/>
        <v>0</v>
      </c>
      <c r="J133">
        <f t="shared" ca="1" si="18"/>
        <v>20</v>
      </c>
    </row>
    <row r="134" spans="5:10" x14ac:dyDescent="0.3">
      <c r="E134">
        <f t="shared" ca="1" si="19"/>
        <v>30</v>
      </c>
      <c r="F134">
        <f t="shared" ca="1" si="19"/>
        <v>25</v>
      </c>
      <c r="G134" t="b">
        <f t="shared" ca="1" si="15"/>
        <v>0</v>
      </c>
      <c r="H134" t="b">
        <f t="shared" ca="1" si="16"/>
        <v>1</v>
      </c>
      <c r="I134" t="b">
        <f t="shared" ca="1" si="17"/>
        <v>1</v>
      </c>
      <c r="J134">
        <f t="shared" ca="1" si="18"/>
        <v>20</v>
      </c>
    </row>
    <row r="135" spans="5:10" x14ac:dyDescent="0.3">
      <c r="E135">
        <f t="shared" ca="1" si="19"/>
        <v>11</v>
      </c>
      <c r="F135">
        <f t="shared" ca="1" si="19"/>
        <v>7</v>
      </c>
      <c r="G135" t="b">
        <f t="shared" ca="1" si="15"/>
        <v>0</v>
      </c>
      <c r="H135" t="b">
        <f t="shared" ca="1" si="16"/>
        <v>1</v>
      </c>
      <c r="I135" t="b">
        <f t="shared" ca="1" si="17"/>
        <v>0</v>
      </c>
      <c r="J135">
        <f t="shared" ca="1" si="18"/>
        <v>20</v>
      </c>
    </row>
    <row r="136" spans="5:10" x14ac:dyDescent="0.3">
      <c r="E136">
        <f t="shared" ca="1" si="19"/>
        <v>17</v>
      </c>
      <c r="F136">
        <f t="shared" ca="1" si="19"/>
        <v>4</v>
      </c>
      <c r="G136" t="b">
        <f t="shared" ca="1" si="15"/>
        <v>0</v>
      </c>
      <c r="H136" t="b">
        <f t="shared" ca="1" si="16"/>
        <v>1</v>
      </c>
      <c r="I136" t="b">
        <f t="shared" ca="1" si="17"/>
        <v>1</v>
      </c>
      <c r="J136">
        <f t="shared" ca="1" si="18"/>
        <v>20</v>
      </c>
    </row>
    <row r="137" spans="5:10" x14ac:dyDescent="0.3">
      <c r="E137">
        <f t="shared" ca="1" si="19"/>
        <v>3</v>
      </c>
      <c r="F137">
        <f t="shared" ca="1" si="19"/>
        <v>35</v>
      </c>
      <c r="G137" t="b">
        <f t="shared" ca="1" si="15"/>
        <v>1</v>
      </c>
      <c r="H137" t="b">
        <f t="shared" ca="1" si="16"/>
        <v>1</v>
      </c>
      <c r="I137" t="b">
        <f t="shared" ca="1" si="17"/>
        <v>0</v>
      </c>
      <c r="J137">
        <f t="shared" ca="1" si="18"/>
        <v>20</v>
      </c>
    </row>
    <row r="138" spans="5:10" x14ac:dyDescent="0.3">
      <c r="E138">
        <f t="shared" ca="1" si="19"/>
        <v>2</v>
      </c>
      <c r="F138">
        <f t="shared" ca="1" si="19"/>
        <v>3</v>
      </c>
      <c r="G138" t="b">
        <f t="shared" ca="1" si="15"/>
        <v>0</v>
      </c>
      <c r="H138" t="b">
        <f t="shared" ca="1" si="16"/>
        <v>0</v>
      </c>
      <c r="I138" t="b">
        <f t="shared" ca="1" si="17"/>
        <v>1</v>
      </c>
      <c r="J138">
        <f t="shared" ca="1" si="18"/>
        <v>10</v>
      </c>
    </row>
    <row r="139" spans="5:10" x14ac:dyDescent="0.3">
      <c r="E139">
        <f t="shared" ca="1" si="19"/>
        <v>5</v>
      </c>
      <c r="F139">
        <f t="shared" ca="1" si="19"/>
        <v>16</v>
      </c>
      <c r="G139" t="b">
        <f t="shared" ca="1" si="15"/>
        <v>0</v>
      </c>
      <c r="H139" t="b">
        <f t="shared" ca="1" si="16"/>
        <v>1</v>
      </c>
      <c r="I139" t="b">
        <f t="shared" ca="1" si="17"/>
        <v>1</v>
      </c>
      <c r="J139">
        <f t="shared" ca="1" si="18"/>
        <v>20</v>
      </c>
    </row>
    <row r="140" spans="5:10" x14ac:dyDescent="0.3">
      <c r="E140">
        <f t="shared" ca="1" si="19"/>
        <v>23</v>
      </c>
      <c r="F140">
        <f t="shared" ca="1" si="19"/>
        <v>21</v>
      </c>
      <c r="G140" t="b">
        <f t="shared" ca="1" si="15"/>
        <v>0</v>
      </c>
      <c r="H140" t="b">
        <f t="shared" ca="1" si="16"/>
        <v>0</v>
      </c>
      <c r="I140" t="b">
        <f t="shared" ca="1" si="17"/>
        <v>1</v>
      </c>
      <c r="J140">
        <f t="shared" ca="1" si="18"/>
        <v>10</v>
      </c>
    </row>
    <row r="141" spans="5:10" x14ac:dyDescent="0.3">
      <c r="E141">
        <f t="shared" ca="1" si="19"/>
        <v>10</v>
      </c>
      <c r="F141">
        <f t="shared" ca="1" si="19"/>
        <v>40</v>
      </c>
      <c r="G141" t="b">
        <f t="shared" ca="1" si="15"/>
        <v>1</v>
      </c>
      <c r="H141" t="b">
        <f t="shared" ca="1" si="16"/>
        <v>1</v>
      </c>
      <c r="I141" t="b">
        <f t="shared" ca="1" si="17"/>
        <v>1</v>
      </c>
      <c r="J141">
        <f t="shared" ca="1" si="18"/>
        <v>20</v>
      </c>
    </row>
    <row r="142" spans="5:10" x14ac:dyDescent="0.3">
      <c r="E142">
        <f t="shared" ca="1" si="19"/>
        <v>36</v>
      </c>
      <c r="F142">
        <f t="shared" ca="1" si="19"/>
        <v>31</v>
      </c>
      <c r="G142" t="b">
        <f t="shared" ca="1" si="15"/>
        <v>0</v>
      </c>
      <c r="H142" t="b">
        <f t="shared" ca="1" si="16"/>
        <v>1</v>
      </c>
      <c r="I142" t="b">
        <f t="shared" ca="1" si="17"/>
        <v>1</v>
      </c>
      <c r="J142">
        <f t="shared" ca="1" si="18"/>
        <v>20</v>
      </c>
    </row>
    <row r="143" spans="5:10" x14ac:dyDescent="0.3">
      <c r="E143">
        <f t="shared" ca="1" si="19"/>
        <v>2</v>
      </c>
      <c r="F143">
        <f t="shared" ca="1" si="19"/>
        <v>12</v>
      </c>
      <c r="G143" t="b">
        <f t="shared" ca="1" si="15"/>
        <v>0</v>
      </c>
      <c r="H143" t="b">
        <f t="shared" ca="1" si="16"/>
        <v>1</v>
      </c>
      <c r="I143" t="b">
        <f t="shared" ca="1" si="17"/>
        <v>1</v>
      </c>
      <c r="J143">
        <f t="shared" ca="1" si="18"/>
        <v>20</v>
      </c>
    </row>
    <row r="144" spans="5:10" x14ac:dyDescent="0.3">
      <c r="E144">
        <f t="shared" ca="1" si="19"/>
        <v>16</v>
      </c>
      <c r="F144">
        <f t="shared" ca="1" si="19"/>
        <v>35</v>
      </c>
      <c r="G144" t="b">
        <f t="shared" ca="1" si="15"/>
        <v>1</v>
      </c>
      <c r="H144" t="b">
        <f t="shared" ca="1" si="16"/>
        <v>0</v>
      </c>
      <c r="I144" t="b">
        <f t="shared" ca="1" si="17"/>
        <v>1</v>
      </c>
      <c r="J144">
        <f t="shared" ca="1" si="18"/>
        <v>20</v>
      </c>
    </row>
    <row r="145" spans="5:10" x14ac:dyDescent="0.3">
      <c r="E145">
        <f t="shared" ca="1" si="19"/>
        <v>2</v>
      </c>
      <c r="F145">
        <f t="shared" ca="1" si="19"/>
        <v>2</v>
      </c>
      <c r="G145" t="b">
        <f t="shared" ca="1" si="15"/>
        <v>0</v>
      </c>
      <c r="H145" t="b">
        <f t="shared" ca="1" si="16"/>
        <v>0</v>
      </c>
      <c r="I145" t="b">
        <f t="shared" ca="1" si="17"/>
        <v>0</v>
      </c>
      <c r="J145">
        <f t="shared" ca="1" si="18"/>
        <v>0</v>
      </c>
    </row>
    <row r="146" spans="5:10" x14ac:dyDescent="0.3">
      <c r="E146">
        <f t="shared" ca="1" si="19"/>
        <v>6</v>
      </c>
      <c r="F146">
        <f t="shared" ca="1" si="19"/>
        <v>39</v>
      </c>
      <c r="G146" t="b">
        <f t="shared" ca="1" si="15"/>
        <v>1</v>
      </c>
      <c r="H146" t="b">
        <f t="shared" ca="1" si="16"/>
        <v>1</v>
      </c>
      <c r="I146" t="b">
        <f t="shared" ca="1" si="17"/>
        <v>1</v>
      </c>
      <c r="J146">
        <f t="shared" ca="1" si="18"/>
        <v>20</v>
      </c>
    </row>
    <row r="147" spans="5:10" x14ac:dyDescent="0.3">
      <c r="E147">
        <f t="shared" ca="1" si="19"/>
        <v>38</v>
      </c>
      <c r="F147">
        <f t="shared" ca="1" si="19"/>
        <v>5</v>
      </c>
      <c r="G147" t="b">
        <f t="shared" ca="1" si="15"/>
        <v>1</v>
      </c>
      <c r="H147" t="b">
        <f t="shared" ca="1" si="16"/>
        <v>1</v>
      </c>
      <c r="I147" t="b">
        <f t="shared" ca="1" si="17"/>
        <v>1</v>
      </c>
      <c r="J147">
        <f t="shared" ca="1" si="18"/>
        <v>20</v>
      </c>
    </row>
    <row r="148" spans="5:10" x14ac:dyDescent="0.3">
      <c r="E148">
        <f t="shared" ca="1" si="19"/>
        <v>31</v>
      </c>
      <c r="F148">
        <f t="shared" ca="1" si="19"/>
        <v>34</v>
      </c>
      <c r="G148" t="b">
        <f t="shared" ca="1" si="15"/>
        <v>0</v>
      </c>
      <c r="H148" t="b">
        <f t="shared" ca="1" si="16"/>
        <v>1</v>
      </c>
      <c r="I148" t="b">
        <f t="shared" ca="1" si="17"/>
        <v>1</v>
      </c>
      <c r="J148">
        <f t="shared" ca="1" si="18"/>
        <v>20</v>
      </c>
    </row>
    <row r="149" spans="5:10" x14ac:dyDescent="0.3">
      <c r="E149">
        <f t="shared" ca="1" si="19"/>
        <v>37</v>
      </c>
      <c r="F149">
        <f t="shared" ca="1" si="19"/>
        <v>40</v>
      </c>
      <c r="G149" t="b">
        <f t="shared" ca="1" si="15"/>
        <v>0</v>
      </c>
      <c r="H149" t="b">
        <f t="shared" ca="1" si="16"/>
        <v>0</v>
      </c>
      <c r="I149" t="b">
        <f t="shared" ca="1" si="17"/>
        <v>1</v>
      </c>
      <c r="J149">
        <f t="shared" ca="1" si="18"/>
        <v>10</v>
      </c>
    </row>
    <row r="150" spans="5:10" x14ac:dyDescent="0.3">
      <c r="E150">
        <f t="shared" ca="1" si="19"/>
        <v>15</v>
      </c>
      <c r="F150">
        <f t="shared" ca="1" si="19"/>
        <v>21</v>
      </c>
      <c r="G150" t="b">
        <f t="shared" ca="1" si="15"/>
        <v>1</v>
      </c>
      <c r="H150" t="b">
        <f t="shared" ca="1" si="16"/>
        <v>1</v>
      </c>
      <c r="I150" t="b">
        <f t="shared" ca="1" si="17"/>
        <v>1</v>
      </c>
      <c r="J150">
        <f t="shared" ca="1" si="18"/>
        <v>20</v>
      </c>
    </row>
    <row r="151" spans="5:10" x14ac:dyDescent="0.3">
      <c r="E151">
        <f t="shared" ca="1" si="19"/>
        <v>20</v>
      </c>
      <c r="F151">
        <f t="shared" ca="1" si="19"/>
        <v>7</v>
      </c>
      <c r="G151" t="b">
        <f t="shared" ca="1" si="15"/>
        <v>0</v>
      </c>
      <c r="H151" t="b">
        <f t="shared" ca="1" si="16"/>
        <v>1</v>
      </c>
      <c r="I151" t="b">
        <f t="shared" ca="1" si="17"/>
        <v>1</v>
      </c>
      <c r="J151">
        <f t="shared" ca="1" si="18"/>
        <v>20</v>
      </c>
    </row>
    <row r="152" spans="5:10" x14ac:dyDescent="0.3">
      <c r="E152">
        <f t="shared" ca="1" si="19"/>
        <v>29</v>
      </c>
      <c r="F152">
        <f t="shared" ca="1" si="19"/>
        <v>7</v>
      </c>
      <c r="G152" t="b">
        <f t="shared" ca="1" si="15"/>
        <v>1</v>
      </c>
      <c r="H152" t="b">
        <f t="shared" ca="1" si="16"/>
        <v>1</v>
      </c>
      <c r="I152" t="b">
        <f t="shared" ca="1" si="17"/>
        <v>1</v>
      </c>
      <c r="J152">
        <f t="shared" ca="1" si="18"/>
        <v>20</v>
      </c>
    </row>
    <row r="153" spans="5:10" x14ac:dyDescent="0.3">
      <c r="E153">
        <f t="shared" ca="1" si="19"/>
        <v>23</v>
      </c>
      <c r="F153">
        <f t="shared" ca="1" si="19"/>
        <v>35</v>
      </c>
      <c r="G153" t="b">
        <f t="shared" ca="1" si="15"/>
        <v>0</v>
      </c>
      <c r="H153" t="b">
        <f t="shared" ca="1" si="16"/>
        <v>1</v>
      </c>
      <c r="I153" t="b">
        <f t="shared" ca="1" si="17"/>
        <v>0</v>
      </c>
      <c r="J153">
        <f t="shared" ca="1" si="18"/>
        <v>20</v>
      </c>
    </row>
    <row r="154" spans="5:10" x14ac:dyDescent="0.3">
      <c r="E154">
        <f t="shared" ca="1" si="19"/>
        <v>15</v>
      </c>
      <c r="F154">
        <f t="shared" ca="1" si="19"/>
        <v>24</v>
      </c>
      <c r="G154" t="b">
        <f t="shared" ca="1" si="15"/>
        <v>1</v>
      </c>
      <c r="H154" t="b">
        <f t="shared" ca="1" si="16"/>
        <v>1</v>
      </c>
      <c r="I154" t="b">
        <f t="shared" ca="1" si="17"/>
        <v>1</v>
      </c>
      <c r="J154">
        <f t="shared" ca="1" si="18"/>
        <v>20</v>
      </c>
    </row>
    <row r="155" spans="5:10" x14ac:dyDescent="0.3">
      <c r="E155">
        <f t="shared" ca="1" si="19"/>
        <v>28</v>
      </c>
      <c r="F155">
        <f t="shared" ca="1" si="19"/>
        <v>28</v>
      </c>
      <c r="G155" t="b">
        <f t="shared" ca="1" si="15"/>
        <v>0</v>
      </c>
      <c r="H155" t="b">
        <f t="shared" ca="1" si="16"/>
        <v>0</v>
      </c>
      <c r="I155" t="b">
        <f t="shared" ca="1" si="17"/>
        <v>0</v>
      </c>
      <c r="J155">
        <f t="shared" ca="1" si="18"/>
        <v>0</v>
      </c>
    </row>
    <row r="156" spans="5:10" x14ac:dyDescent="0.3">
      <c r="E156">
        <f t="shared" ca="1" si="19"/>
        <v>32</v>
      </c>
      <c r="F156">
        <f t="shared" ca="1" si="19"/>
        <v>27</v>
      </c>
      <c r="G156" t="b">
        <f t="shared" ca="1" si="15"/>
        <v>0</v>
      </c>
      <c r="H156" t="b">
        <f t="shared" ca="1" si="16"/>
        <v>1</v>
      </c>
      <c r="I156" t="b">
        <f t="shared" ca="1" si="17"/>
        <v>1</v>
      </c>
      <c r="J156">
        <f t="shared" ca="1" si="18"/>
        <v>20</v>
      </c>
    </row>
    <row r="157" spans="5:10" x14ac:dyDescent="0.3">
      <c r="E157">
        <f t="shared" ca="1" si="19"/>
        <v>17</v>
      </c>
      <c r="F157">
        <f t="shared" ca="1" si="19"/>
        <v>28</v>
      </c>
      <c r="G157" t="b">
        <f t="shared" ca="1" si="15"/>
        <v>1</v>
      </c>
      <c r="H157" t="b">
        <f t="shared" ca="1" si="16"/>
        <v>1</v>
      </c>
      <c r="I157" t="b">
        <f t="shared" ca="1" si="17"/>
        <v>1</v>
      </c>
      <c r="J157">
        <f t="shared" ca="1" si="18"/>
        <v>20</v>
      </c>
    </row>
    <row r="158" spans="5:10" x14ac:dyDescent="0.3">
      <c r="E158">
        <f t="shared" ca="1" si="19"/>
        <v>24</v>
      </c>
      <c r="F158">
        <f t="shared" ca="1" si="19"/>
        <v>10</v>
      </c>
      <c r="G158" t="b">
        <f t="shared" ca="1" si="15"/>
        <v>1</v>
      </c>
      <c r="H158" t="b">
        <f t="shared" ca="1" si="16"/>
        <v>1</v>
      </c>
      <c r="I158" t="b">
        <f t="shared" ca="1" si="17"/>
        <v>1</v>
      </c>
      <c r="J158">
        <f t="shared" ca="1" si="18"/>
        <v>20</v>
      </c>
    </row>
    <row r="159" spans="5:10" x14ac:dyDescent="0.3">
      <c r="E159">
        <f t="shared" ca="1" si="19"/>
        <v>28</v>
      </c>
      <c r="F159">
        <f t="shared" ca="1" si="19"/>
        <v>15</v>
      </c>
      <c r="G159" t="b">
        <f t="shared" ca="1" si="15"/>
        <v>1</v>
      </c>
      <c r="H159" t="b">
        <f t="shared" ca="1" si="16"/>
        <v>1</v>
      </c>
      <c r="I159" t="b">
        <f t="shared" ca="1" si="17"/>
        <v>1</v>
      </c>
      <c r="J159">
        <f t="shared" ca="1" si="18"/>
        <v>20</v>
      </c>
    </row>
    <row r="160" spans="5:10" x14ac:dyDescent="0.3">
      <c r="E160">
        <f t="shared" ca="1" si="19"/>
        <v>7</v>
      </c>
      <c r="F160">
        <f t="shared" ca="1" si="19"/>
        <v>15</v>
      </c>
      <c r="G160" t="b">
        <f t="shared" ca="1" si="15"/>
        <v>0</v>
      </c>
      <c r="H160" t="b">
        <f t="shared" ca="1" si="16"/>
        <v>1</v>
      </c>
      <c r="I160" t="b">
        <f t="shared" ca="1" si="17"/>
        <v>0</v>
      </c>
      <c r="J160">
        <f t="shared" ca="1" si="18"/>
        <v>20</v>
      </c>
    </row>
    <row r="161" spans="5:10" x14ac:dyDescent="0.3">
      <c r="E161">
        <f t="shared" ca="1" si="19"/>
        <v>28</v>
      </c>
      <c r="F161">
        <f t="shared" ca="1" si="19"/>
        <v>2</v>
      </c>
      <c r="G161" t="b">
        <f t="shared" ca="1" si="15"/>
        <v>1</v>
      </c>
      <c r="H161" t="b">
        <f t="shared" ca="1" si="16"/>
        <v>1</v>
      </c>
      <c r="I161" t="b">
        <f t="shared" ca="1" si="17"/>
        <v>1</v>
      </c>
      <c r="J161">
        <f t="shared" ca="1" si="18"/>
        <v>20</v>
      </c>
    </row>
    <row r="162" spans="5:10" x14ac:dyDescent="0.3">
      <c r="E162">
        <f t="shared" ca="1" si="19"/>
        <v>15</v>
      </c>
      <c r="F162">
        <f t="shared" ca="1" si="19"/>
        <v>40</v>
      </c>
      <c r="G162" t="b">
        <f t="shared" ca="1" si="15"/>
        <v>1</v>
      </c>
      <c r="H162" t="b">
        <f t="shared" ca="1" si="16"/>
        <v>1</v>
      </c>
      <c r="I162" t="b">
        <f t="shared" ca="1" si="17"/>
        <v>1</v>
      </c>
      <c r="J162">
        <f t="shared" ca="1" si="18"/>
        <v>20</v>
      </c>
    </row>
    <row r="163" spans="5:10" x14ac:dyDescent="0.3">
      <c r="E163">
        <f t="shared" ca="1" si="19"/>
        <v>17</v>
      </c>
      <c r="F163">
        <f t="shared" ca="1" si="19"/>
        <v>4</v>
      </c>
      <c r="G163" t="b">
        <f t="shared" ca="1" si="15"/>
        <v>0</v>
      </c>
      <c r="H163" t="b">
        <f t="shared" ca="1" si="16"/>
        <v>1</v>
      </c>
      <c r="I163" t="b">
        <f t="shared" ca="1" si="17"/>
        <v>1</v>
      </c>
      <c r="J163">
        <f t="shared" ca="1" si="18"/>
        <v>20</v>
      </c>
    </row>
    <row r="164" spans="5:10" x14ac:dyDescent="0.3">
      <c r="E164">
        <f t="shared" ca="1" si="19"/>
        <v>19</v>
      </c>
      <c r="F164">
        <f t="shared" ca="1" si="19"/>
        <v>15</v>
      </c>
      <c r="G164" t="b">
        <f t="shared" ca="1" si="15"/>
        <v>0</v>
      </c>
      <c r="H164" t="b">
        <f t="shared" ca="1" si="16"/>
        <v>1</v>
      </c>
      <c r="I164" t="b">
        <f t="shared" ca="1" si="17"/>
        <v>0</v>
      </c>
      <c r="J164">
        <f t="shared" ca="1" si="18"/>
        <v>20</v>
      </c>
    </row>
    <row r="165" spans="5:10" x14ac:dyDescent="0.3">
      <c r="E165">
        <f t="shared" ca="1" si="19"/>
        <v>23</v>
      </c>
      <c r="F165">
        <f t="shared" ca="1" si="19"/>
        <v>6</v>
      </c>
      <c r="G165" t="b">
        <f t="shared" ca="1" si="15"/>
        <v>1</v>
      </c>
      <c r="H165" t="b">
        <f t="shared" ca="1" si="16"/>
        <v>1</v>
      </c>
      <c r="I165" t="b">
        <f t="shared" ca="1" si="17"/>
        <v>1</v>
      </c>
      <c r="J165">
        <f t="shared" ca="1" si="18"/>
        <v>20</v>
      </c>
    </row>
    <row r="166" spans="5:10" x14ac:dyDescent="0.3">
      <c r="E166">
        <f t="shared" ca="1" si="19"/>
        <v>17</v>
      </c>
      <c r="F166">
        <f t="shared" ca="1" si="19"/>
        <v>27</v>
      </c>
      <c r="G166" t="b">
        <f t="shared" ca="1" si="15"/>
        <v>1</v>
      </c>
      <c r="H166" t="b">
        <f t="shared" ca="1" si="16"/>
        <v>1</v>
      </c>
      <c r="I166" t="b">
        <f t="shared" ca="1" si="17"/>
        <v>1</v>
      </c>
      <c r="J166">
        <f t="shared" ca="1" si="18"/>
        <v>20</v>
      </c>
    </row>
    <row r="167" spans="5:10" x14ac:dyDescent="0.3">
      <c r="E167">
        <f t="shared" ca="1" si="19"/>
        <v>5</v>
      </c>
      <c r="F167">
        <f t="shared" ca="1" si="19"/>
        <v>35</v>
      </c>
      <c r="G167" t="b">
        <f t="shared" ca="1" si="15"/>
        <v>1</v>
      </c>
      <c r="H167" t="b">
        <f t="shared" ca="1" si="16"/>
        <v>1</v>
      </c>
      <c r="I167" t="b">
        <f t="shared" ca="1" si="17"/>
        <v>1</v>
      </c>
      <c r="J167">
        <f t="shared" ca="1" si="18"/>
        <v>20</v>
      </c>
    </row>
    <row r="168" spans="5:10" x14ac:dyDescent="0.3">
      <c r="E168">
        <f t="shared" ca="1" si="19"/>
        <v>21</v>
      </c>
      <c r="F168">
        <f t="shared" ca="1" si="19"/>
        <v>35</v>
      </c>
      <c r="G168" t="b">
        <f t="shared" ca="1" si="15"/>
        <v>0</v>
      </c>
      <c r="H168" t="b">
        <f t="shared" ca="1" si="16"/>
        <v>1</v>
      </c>
      <c r="I168" t="b">
        <f t="shared" ca="1" si="17"/>
        <v>1</v>
      </c>
      <c r="J168">
        <f t="shared" ca="1" si="18"/>
        <v>20</v>
      </c>
    </row>
    <row r="169" spans="5:10" x14ac:dyDescent="0.3">
      <c r="E169">
        <f t="shared" ca="1" si="19"/>
        <v>37</v>
      </c>
      <c r="F169">
        <f t="shared" ca="1" si="19"/>
        <v>11</v>
      </c>
      <c r="G169" t="b">
        <f t="shared" ca="1" si="15"/>
        <v>1</v>
      </c>
      <c r="H169" t="b">
        <f t="shared" ca="1" si="16"/>
        <v>1</v>
      </c>
      <c r="I169" t="b">
        <f t="shared" ca="1" si="17"/>
        <v>1</v>
      </c>
      <c r="J169">
        <f t="shared" ca="1" si="18"/>
        <v>20</v>
      </c>
    </row>
    <row r="170" spans="5:10" x14ac:dyDescent="0.3">
      <c r="E170">
        <f t="shared" ca="1" si="19"/>
        <v>20</v>
      </c>
      <c r="F170">
        <f t="shared" ca="1" si="19"/>
        <v>2</v>
      </c>
      <c r="G170" t="b">
        <f t="shared" ca="1" si="15"/>
        <v>0</v>
      </c>
      <c r="H170" t="b">
        <f t="shared" ca="1" si="16"/>
        <v>1</v>
      </c>
      <c r="I170" t="b">
        <f t="shared" ca="1" si="17"/>
        <v>1</v>
      </c>
      <c r="J170">
        <f t="shared" ca="1" si="18"/>
        <v>20</v>
      </c>
    </row>
    <row r="171" spans="5:10" x14ac:dyDescent="0.3">
      <c r="E171">
        <f t="shared" ca="1" si="19"/>
        <v>12</v>
      </c>
      <c r="F171">
        <f t="shared" ca="1" si="19"/>
        <v>29</v>
      </c>
      <c r="G171" t="b">
        <f t="shared" ca="1" si="15"/>
        <v>1</v>
      </c>
      <c r="H171" t="b">
        <f t="shared" ca="1" si="16"/>
        <v>0</v>
      </c>
      <c r="I171" t="b">
        <f t="shared" ca="1" si="17"/>
        <v>1</v>
      </c>
      <c r="J171">
        <f t="shared" ca="1" si="18"/>
        <v>20</v>
      </c>
    </row>
    <row r="172" spans="5:10" x14ac:dyDescent="0.3">
      <c r="E172">
        <f t="shared" ca="1" si="19"/>
        <v>27</v>
      </c>
      <c r="F172">
        <f t="shared" ca="1" si="19"/>
        <v>22</v>
      </c>
      <c r="G172" t="b">
        <f t="shared" ca="1" si="15"/>
        <v>0</v>
      </c>
      <c r="H172" t="b">
        <f t="shared" ca="1" si="16"/>
        <v>1</v>
      </c>
      <c r="I172" t="b">
        <f t="shared" ca="1" si="17"/>
        <v>1</v>
      </c>
      <c r="J172">
        <f t="shared" ca="1" si="18"/>
        <v>20</v>
      </c>
    </row>
    <row r="173" spans="5:10" x14ac:dyDescent="0.3">
      <c r="E173">
        <f t="shared" ca="1" si="19"/>
        <v>36</v>
      </c>
      <c r="F173">
        <f t="shared" ca="1" si="19"/>
        <v>5</v>
      </c>
      <c r="G173" t="b">
        <f t="shared" ca="1" si="15"/>
        <v>1</v>
      </c>
      <c r="H173" t="b">
        <f t="shared" ca="1" si="16"/>
        <v>1</v>
      </c>
      <c r="I173" t="b">
        <f t="shared" ca="1" si="17"/>
        <v>1</v>
      </c>
      <c r="J173">
        <f t="shared" ca="1" si="18"/>
        <v>20</v>
      </c>
    </row>
    <row r="174" spans="5:10" x14ac:dyDescent="0.3">
      <c r="E174">
        <f t="shared" ca="1" si="19"/>
        <v>20</v>
      </c>
      <c r="F174">
        <f t="shared" ca="1" si="19"/>
        <v>32</v>
      </c>
      <c r="G174" t="b">
        <f t="shared" ca="1" si="15"/>
        <v>1</v>
      </c>
      <c r="H174" t="b">
        <f t="shared" ca="1" si="16"/>
        <v>1</v>
      </c>
      <c r="I174" t="b">
        <f t="shared" ca="1" si="17"/>
        <v>0</v>
      </c>
      <c r="J174">
        <f t="shared" ca="1" si="18"/>
        <v>20</v>
      </c>
    </row>
    <row r="175" spans="5:10" x14ac:dyDescent="0.3">
      <c r="E175">
        <f t="shared" ca="1" si="19"/>
        <v>16</v>
      </c>
      <c r="F175">
        <f t="shared" ca="1" si="19"/>
        <v>31</v>
      </c>
      <c r="G175" t="b">
        <f t="shared" ca="1" si="15"/>
        <v>1</v>
      </c>
      <c r="H175" t="b">
        <f t="shared" ca="1" si="16"/>
        <v>1</v>
      </c>
      <c r="I175" t="b">
        <f t="shared" ca="1" si="17"/>
        <v>1</v>
      </c>
      <c r="J175">
        <f t="shared" ca="1" si="18"/>
        <v>20</v>
      </c>
    </row>
    <row r="176" spans="5:10" x14ac:dyDescent="0.3">
      <c r="E176">
        <f t="shared" ca="1" si="19"/>
        <v>39</v>
      </c>
      <c r="F176">
        <f t="shared" ca="1" si="19"/>
        <v>34</v>
      </c>
      <c r="G176" t="b">
        <f t="shared" ca="1" si="15"/>
        <v>0</v>
      </c>
      <c r="H176" t="b">
        <f t="shared" ca="1" si="16"/>
        <v>1</v>
      </c>
      <c r="I176" t="b">
        <f t="shared" ca="1" si="17"/>
        <v>1</v>
      </c>
      <c r="J176">
        <f t="shared" ca="1" si="18"/>
        <v>20</v>
      </c>
    </row>
    <row r="177" spans="5:10" x14ac:dyDescent="0.3">
      <c r="E177">
        <f t="shared" ca="1" si="19"/>
        <v>34</v>
      </c>
      <c r="F177">
        <f t="shared" ca="1" si="19"/>
        <v>1</v>
      </c>
      <c r="G177" t="b">
        <f t="shared" ca="1" si="15"/>
        <v>1</v>
      </c>
      <c r="H177" t="b">
        <f t="shared" ca="1" si="16"/>
        <v>1</v>
      </c>
      <c r="I177" t="b">
        <f t="shared" ca="1" si="17"/>
        <v>1</v>
      </c>
      <c r="J177">
        <f t="shared" ca="1" si="18"/>
        <v>20</v>
      </c>
    </row>
    <row r="178" spans="5:10" x14ac:dyDescent="0.3">
      <c r="E178">
        <f t="shared" ca="1" si="19"/>
        <v>37</v>
      </c>
      <c r="F178">
        <f t="shared" ca="1" si="19"/>
        <v>19</v>
      </c>
      <c r="G178" t="b">
        <f t="shared" ca="1" si="15"/>
        <v>1</v>
      </c>
      <c r="H178" t="b">
        <f t="shared" ca="1" si="16"/>
        <v>0</v>
      </c>
      <c r="I178" t="b">
        <f t="shared" ca="1" si="17"/>
        <v>1</v>
      </c>
      <c r="J178">
        <f t="shared" ca="1" si="18"/>
        <v>20</v>
      </c>
    </row>
    <row r="179" spans="5:10" x14ac:dyDescent="0.3">
      <c r="E179">
        <f t="shared" ca="1" si="19"/>
        <v>7</v>
      </c>
      <c r="F179">
        <f t="shared" ca="1" si="19"/>
        <v>22</v>
      </c>
      <c r="G179" t="b">
        <f t="shared" ca="1" si="15"/>
        <v>1</v>
      </c>
      <c r="H179" t="b">
        <f t="shared" ca="1" si="16"/>
        <v>1</v>
      </c>
      <c r="I179" t="b">
        <f t="shared" ca="1" si="17"/>
        <v>1</v>
      </c>
      <c r="J179">
        <f t="shared" ca="1" si="18"/>
        <v>20</v>
      </c>
    </row>
    <row r="180" spans="5:10" x14ac:dyDescent="0.3">
      <c r="E180">
        <f t="shared" ca="1" si="19"/>
        <v>32</v>
      </c>
      <c r="F180">
        <f t="shared" ca="1" si="19"/>
        <v>34</v>
      </c>
      <c r="G180" t="b">
        <f t="shared" ca="1" si="15"/>
        <v>0</v>
      </c>
      <c r="H180" t="b">
        <f t="shared" ca="1" si="16"/>
        <v>1</v>
      </c>
      <c r="I180" t="b">
        <f t="shared" ca="1" si="17"/>
        <v>1</v>
      </c>
      <c r="J180">
        <f t="shared" ca="1" si="18"/>
        <v>20</v>
      </c>
    </row>
    <row r="181" spans="5:10" x14ac:dyDescent="0.3">
      <c r="E181">
        <f t="shared" ca="1" si="19"/>
        <v>21</v>
      </c>
      <c r="F181">
        <f t="shared" ca="1" si="19"/>
        <v>2</v>
      </c>
      <c r="G181" t="b">
        <f t="shared" ca="1" si="15"/>
        <v>1</v>
      </c>
      <c r="H181" t="b">
        <f t="shared" ca="1" si="16"/>
        <v>0</v>
      </c>
      <c r="I181" t="b">
        <f t="shared" ca="1" si="17"/>
        <v>1</v>
      </c>
      <c r="J181">
        <f t="shared" ca="1" si="18"/>
        <v>20</v>
      </c>
    </row>
    <row r="182" spans="5:10" x14ac:dyDescent="0.3">
      <c r="E182">
        <f t="shared" ca="1" si="19"/>
        <v>3</v>
      </c>
      <c r="F182">
        <f t="shared" ca="1" si="19"/>
        <v>5</v>
      </c>
      <c r="G182" t="b">
        <f t="shared" ca="1" si="15"/>
        <v>0</v>
      </c>
      <c r="H182" t="b">
        <f t="shared" ca="1" si="16"/>
        <v>1</v>
      </c>
      <c r="I182" t="b">
        <f t="shared" ca="1" si="17"/>
        <v>1</v>
      </c>
      <c r="J182">
        <f t="shared" ca="1" si="18"/>
        <v>20</v>
      </c>
    </row>
    <row r="183" spans="5:10" x14ac:dyDescent="0.3">
      <c r="E183">
        <f t="shared" ca="1" si="19"/>
        <v>25</v>
      </c>
      <c r="F183">
        <f t="shared" ca="1" si="19"/>
        <v>32</v>
      </c>
      <c r="G183" t="b">
        <f t="shared" ca="1" si="15"/>
        <v>0</v>
      </c>
      <c r="H183" t="b">
        <f t="shared" ca="1" si="16"/>
        <v>1</v>
      </c>
      <c r="I183" t="b">
        <f t="shared" ca="1" si="17"/>
        <v>1</v>
      </c>
      <c r="J183">
        <f t="shared" ca="1" si="18"/>
        <v>20</v>
      </c>
    </row>
    <row r="184" spans="5:10" x14ac:dyDescent="0.3">
      <c r="E184">
        <f t="shared" ca="1" si="19"/>
        <v>10</v>
      </c>
      <c r="F184">
        <f t="shared" ca="1" si="19"/>
        <v>35</v>
      </c>
      <c r="G184" t="b">
        <f t="shared" ca="1" si="15"/>
        <v>1</v>
      </c>
      <c r="H184" t="b">
        <f t="shared" ca="1" si="16"/>
        <v>1</v>
      </c>
      <c r="I184" t="b">
        <f t="shared" ca="1" si="17"/>
        <v>1</v>
      </c>
      <c r="J184">
        <f t="shared" ca="1" si="18"/>
        <v>20</v>
      </c>
    </row>
    <row r="185" spans="5:10" x14ac:dyDescent="0.3">
      <c r="E185">
        <f t="shared" ca="1" si="19"/>
        <v>8</v>
      </c>
      <c r="F185">
        <f t="shared" ca="1" si="19"/>
        <v>33</v>
      </c>
      <c r="G185" t="b">
        <f t="shared" ca="1" si="15"/>
        <v>1</v>
      </c>
      <c r="H185" t="b">
        <f t="shared" ca="1" si="16"/>
        <v>1</v>
      </c>
      <c r="I185" t="b">
        <f t="shared" ca="1" si="17"/>
        <v>1</v>
      </c>
      <c r="J185">
        <f t="shared" ca="1" si="18"/>
        <v>20</v>
      </c>
    </row>
    <row r="186" spans="5:10" x14ac:dyDescent="0.3">
      <c r="E186">
        <f t="shared" ca="1" si="19"/>
        <v>29</v>
      </c>
      <c r="F186">
        <f t="shared" ca="1" si="19"/>
        <v>1</v>
      </c>
      <c r="G186" t="b">
        <f t="shared" ca="1" si="15"/>
        <v>1</v>
      </c>
      <c r="H186" t="b">
        <f t="shared" ca="1" si="16"/>
        <v>1</v>
      </c>
      <c r="I186" t="b">
        <f t="shared" ca="1" si="17"/>
        <v>0</v>
      </c>
      <c r="J186">
        <f t="shared" ca="1" si="18"/>
        <v>20</v>
      </c>
    </row>
    <row r="187" spans="5:10" x14ac:dyDescent="0.3">
      <c r="E187">
        <f t="shared" ca="1" si="19"/>
        <v>22</v>
      </c>
      <c r="F187">
        <f t="shared" ca="1" si="19"/>
        <v>25</v>
      </c>
      <c r="G187" t="b">
        <f t="shared" ca="1" si="15"/>
        <v>0</v>
      </c>
      <c r="H187" t="b">
        <f t="shared" ca="1" si="16"/>
        <v>1</v>
      </c>
      <c r="I187" t="b">
        <f t="shared" ca="1" si="17"/>
        <v>1</v>
      </c>
      <c r="J187">
        <f t="shared" ca="1" si="18"/>
        <v>20</v>
      </c>
    </row>
    <row r="188" spans="5:10" x14ac:dyDescent="0.3">
      <c r="E188">
        <f t="shared" ca="1" si="19"/>
        <v>27</v>
      </c>
      <c r="F188">
        <f t="shared" ca="1" si="19"/>
        <v>8</v>
      </c>
      <c r="G188" t="b">
        <f t="shared" ca="1" si="15"/>
        <v>1</v>
      </c>
      <c r="H188" t="b">
        <f t="shared" ca="1" si="16"/>
        <v>0</v>
      </c>
      <c r="I188" t="b">
        <f t="shared" ca="1" si="17"/>
        <v>1</v>
      </c>
      <c r="J188">
        <f t="shared" ca="1" si="18"/>
        <v>20</v>
      </c>
    </row>
    <row r="189" spans="5:10" x14ac:dyDescent="0.3">
      <c r="E189">
        <f t="shared" ca="1" si="19"/>
        <v>5</v>
      </c>
      <c r="F189">
        <f t="shared" ca="1" si="19"/>
        <v>2</v>
      </c>
      <c r="G189" t="b">
        <f t="shared" ref="G189:G252" ca="1" si="20">IF(INDEX($B$22:$B$61,MATCH(E189,$A$22:$A$61,0))=INDEX($B$22:$B$61,MATCH(F189,$A$22:$A$61,0)),FALSE,TRUE)</f>
        <v>0</v>
      </c>
      <c r="H189" t="b">
        <f t="shared" ref="H189:H252" ca="1" si="21">IF(INDEX($C$22:$C$61,MATCH(E189,$A$22:$A$61,0))=INDEX($C$22:$C$61,MATCH(F189,$A$22:$A$61,0)),FALSE,TRUE)</f>
        <v>1</v>
      </c>
      <c r="I189" t="b">
        <f t="shared" ref="I189:I252" ca="1" si="22">IF(INDEX($D$22:$D$61,MATCH(E189,$A$22:$A$61,0))=INDEX($D$22:$D$61,MATCH(F189,$A$22:$A$61,0)),FALSE,TRUE)</f>
        <v>1</v>
      </c>
      <c r="J189">
        <f t="shared" ref="J189:J252" ca="1" si="23">MAX(G189*$D$7,H189*$D$8,I189*$D$9)</f>
        <v>20</v>
      </c>
    </row>
    <row r="190" spans="5:10" x14ac:dyDescent="0.3">
      <c r="E190">
        <f t="shared" ca="1" si="19"/>
        <v>14</v>
      </c>
      <c r="F190">
        <f t="shared" ca="1" si="19"/>
        <v>9</v>
      </c>
      <c r="G190" t="b">
        <f t="shared" ca="1" si="20"/>
        <v>0</v>
      </c>
      <c r="H190" t="b">
        <f t="shared" ca="1" si="21"/>
        <v>1</v>
      </c>
      <c r="I190" t="b">
        <f t="shared" ca="1" si="22"/>
        <v>1</v>
      </c>
      <c r="J190">
        <f t="shared" ca="1" si="23"/>
        <v>20</v>
      </c>
    </row>
    <row r="191" spans="5:10" x14ac:dyDescent="0.3">
      <c r="E191">
        <f t="shared" ref="E191:F254" ca="1" si="24">ROUNDUP(40*RAND(),0)</f>
        <v>38</v>
      </c>
      <c r="F191">
        <f t="shared" ca="1" si="24"/>
        <v>38</v>
      </c>
      <c r="G191" t="b">
        <f t="shared" ca="1" si="20"/>
        <v>0</v>
      </c>
      <c r="H191" t="b">
        <f t="shared" ca="1" si="21"/>
        <v>0</v>
      </c>
      <c r="I191" t="b">
        <f t="shared" ca="1" si="22"/>
        <v>0</v>
      </c>
      <c r="J191">
        <f t="shared" ca="1" si="23"/>
        <v>0</v>
      </c>
    </row>
    <row r="192" spans="5:10" x14ac:dyDescent="0.3">
      <c r="E192">
        <f t="shared" ca="1" si="24"/>
        <v>40</v>
      </c>
      <c r="F192">
        <f t="shared" ca="1" si="24"/>
        <v>4</v>
      </c>
      <c r="G192" t="b">
        <f t="shared" ca="1" si="20"/>
        <v>1</v>
      </c>
      <c r="H192" t="b">
        <f t="shared" ca="1" si="21"/>
        <v>1</v>
      </c>
      <c r="I192" t="b">
        <f t="shared" ca="1" si="22"/>
        <v>0</v>
      </c>
      <c r="J192">
        <f t="shared" ca="1" si="23"/>
        <v>20</v>
      </c>
    </row>
    <row r="193" spans="5:10" x14ac:dyDescent="0.3">
      <c r="E193">
        <f t="shared" ca="1" si="24"/>
        <v>26</v>
      </c>
      <c r="F193">
        <f t="shared" ca="1" si="24"/>
        <v>19</v>
      </c>
      <c r="G193" t="b">
        <f t="shared" ca="1" si="20"/>
        <v>1</v>
      </c>
      <c r="H193" t="b">
        <f t="shared" ca="1" si="21"/>
        <v>1</v>
      </c>
      <c r="I193" t="b">
        <f t="shared" ca="1" si="22"/>
        <v>1</v>
      </c>
      <c r="J193">
        <f t="shared" ca="1" si="23"/>
        <v>20</v>
      </c>
    </row>
    <row r="194" spans="5:10" x14ac:dyDescent="0.3">
      <c r="E194">
        <f t="shared" ca="1" si="24"/>
        <v>13</v>
      </c>
      <c r="F194">
        <f t="shared" ca="1" si="24"/>
        <v>25</v>
      </c>
      <c r="G194" t="b">
        <f t="shared" ca="1" si="20"/>
        <v>1</v>
      </c>
      <c r="H194" t="b">
        <f t="shared" ca="1" si="21"/>
        <v>1</v>
      </c>
      <c r="I194" t="b">
        <f t="shared" ca="1" si="22"/>
        <v>0</v>
      </c>
      <c r="J194">
        <f t="shared" ca="1" si="23"/>
        <v>20</v>
      </c>
    </row>
    <row r="195" spans="5:10" x14ac:dyDescent="0.3">
      <c r="E195">
        <f t="shared" ca="1" si="24"/>
        <v>28</v>
      </c>
      <c r="F195">
        <f t="shared" ca="1" si="24"/>
        <v>23</v>
      </c>
      <c r="G195" t="b">
        <f t="shared" ca="1" si="20"/>
        <v>0</v>
      </c>
      <c r="H195" t="b">
        <f t="shared" ca="1" si="21"/>
        <v>1</v>
      </c>
      <c r="I195" t="b">
        <f t="shared" ca="1" si="22"/>
        <v>1</v>
      </c>
      <c r="J195">
        <f t="shared" ca="1" si="23"/>
        <v>20</v>
      </c>
    </row>
    <row r="196" spans="5:10" x14ac:dyDescent="0.3">
      <c r="E196">
        <f t="shared" ca="1" si="24"/>
        <v>38</v>
      </c>
      <c r="F196">
        <f t="shared" ca="1" si="24"/>
        <v>6</v>
      </c>
      <c r="G196" t="b">
        <f t="shared" ca="1" si="20"/>
        <v>1</v>
      </c>
      <c r="H196" t="b">
        <f t="shared" ca="1" si="21"/>
        <v>1</v>
      </c>
      <c r="I196" t="b">
        <f t="shared" ca="1" si="22"/>
        <v>0</v>
      </c>
      <c r="J196">
        <f t="shared" ca="1" si="23"/>
        <v>20</v>
      </c>
    </row>
    <row r="197" spans="5:10" x14ac:dyDescent="0.3">
      <c r="E197">
        <f t="shared" ca="1" si="24"/>
        <v>25</v>
      </c>
      <c r="F197">
        <f t="shared" ca="1" si="24"/>
        <v>13</v>
      </c>
      <c r="G197" t="b">
        <f t="shared" ca="1" si="20"/>
        <v>1</v>
      </c>
      <c r="H197" t="b">
        <f t="shared" ca="1" si="21"/>
        <v>1</v>
      </c>
      <c r="I197" t="b">
        <f t="shared" ca="1" si="22"/>
        <v>0</v>
      </c>
      <c r="J197">
        <f t="shared" ca="1" si="23"/>
        <v>20</v>
      </c>
    </row>
    <row r="198" spans="5:10" x14ac:dyDescent="0.3">
      <c r="E198">
        <f t="shared" ca="1" si="24"/>
        <v>24</v>
      </c>
      <c r="F198">
        <f t="shared" ca="1" si="24"/>
        <v>30</v>
      </c>
      <c r="G198" t="b">
        <f t="shared" ca="1" si="20"/>
        <v>0</v>
      </c>
      <c r="H198" t="b">
        <f t="shared" ca="1" si="21"/>
        <v>1</v>
      </c>
      <c r="I198" t="b">
        <f t="shared" ca="1" si="22"/>
        <v>1</v>
      </c>
      <c r="J198">
        <f t="shared" ca="1" si="23"/>
        <v>20</v>
      </c>
    </row>
    <row r="199" spans="5:10" x14ac:dyDescent="0.3">
      <c r="E199">
        <f t="shared" ca="1" si="24"/>
        <v>15</v>
      </c>
      <c r="F199">
        <f t="shared" ca="1" si="24"/>
        <v>17</v>
      </c>
      <c r="G199" t="b">
        <f t="shared" ca="1" si="20"/>
        <v>0</v>
      </c>
      <c r="H199" t="b">
        <f t="shared" ca="1" si="21"/>
        <v>1</v>
      </c>
      <c r="I199" t="b">
        <f t="shared" ca="1" si="22"/>
        <v>1</v>
      </c>
      <c r="J199">
        <f t="shared" ca="1" si="23"/>
        <v>20</v>
      </c>
    </row>
    <row r="200" spans="5:10" x14ac:dyDescent="0.3">
      <c r="E200">
        <f t="shared" ca="1" si="24"/>
        <v>25</v>
      </c>
      <c r="F200">
        <f t="shared" ca="1" si="24"/>
        <v>15</v>
      </c>
      <c r="G200" t="b">
        <f t="shared" ca="1" si="20"/>
        <v>1</v>
      </c>
      <c r="H200" t="b">
        <f t="shared" ca="1" si="21"/>
        <v>1</v>
      </c>
      <c r="I200" t="b">
        <f t="shared" ca="1" si="22"/>
        <v>1</v>
      </c>
      <c r="J200">
        <f t="shared" ca="1" si="23"/>
        <v>20</v>
      </c>
    </row>
    <row r="201" spans="5:10" x14ac:dyDescent="0.3">
      <c r="E201">
        <f t="shared" ca="1" si="24"/>
        <v>37</v>
      </c>
      <c r="F201">
        <f t="shared" ca="1" si="24"/>
        <v>40</v>
      </c>
      <c r="G201" t="b">
        <f t="shared" ca="1" si="20"/>
        <v>0</v>
      </c>
      <c r="H201" t="b">
        <f t="shared" ca="1" si="21"/>
        <v>0</v>
      </c>
      <c r="I201" t="b">
        <f t="shared" ca="1" si="22"/>
        <v>1</v>
      </c>
      <c r="J201">
        <f t="shared" ca="1" si="23"/>
        <v>10</v>
      </c>
    </row>
    <row r="202" spans="5:10" x14ac:dyDescent="0.3">
      <c r="E202">
        <f t="shared" ca="1" si="24"/>
        <v>5</v>
      </c>
      <c r="F202">
        <f t="shared" ca="1" si="24"/>
        <v>30</v>
      </c>
      <c r="G202" t="b">
        <f t="shared" ca="1" si="20"/>
        <v>1</v>
      </c>
      <c r="H202" t="b">
        <f t="shared" ca="1" si="21"/>
        <v>1</v>
      </c>
      <c r="I202" t="b">
        <f t="shared" ca="1" si="22"/>
        <v>1</v>
      </c>
      <c r="J202">
        <f t="shared" ca="1" si="23"/>
        <v>20</v>
      </c>
    </row>
    <row r="203" spans="5:10" x14ac:dyDescent="0.3">
      <c r="E203">
        <f t="shared" ca="1" si="24"/>
        <v>29</v>
      </c>
      <c r="F203">
        <f t="shared" ca="1" si="24"/>
        <v>35</v>
      </c>
      <c r="G203" t="b">
        <f t="shared" ca="1" si="20"/>
        <v>0</v>
      </c>
      <c r="H203" t="b">
        <f t="shared" ca="1" si="21"/>
        <v>1</v>
      </c>
      <c r="I203" t="b">
        <f t="shared" ca="1" si="22"/>
        <v>1</v>
      </c>
      <c r="J203">
        <f t="shared" ca="1" si="23"/>
        <v>20</v>
      </c>
    </row>
    <row r="204" spans="5:10" x14ac:dyDescent="0.3">
      <c r="E204">
        <f t="shared" ca="1" si="24"/>
        <v>34</v>
      </c>
      <c r="F204">
        <f t="shared" ca="1" si="24"/>
        <v>36</v>
      </c>
      <c r="G204" t="b">
        <f t="shared" ca="1" si="20"/>
        <v>0</v>
      </c>
      <c r="H204" t="b">
        <f t="shared" ca="1" si="21"/>
        <v>0</v>
      </c>
      <c r="I204" t="b">
        <f t="shared" ca="1" si="22"/>
        <v>1</v>
      </c>
      <c r="J204">
        <f t="shared" ca="1" si="23"/>
        <v>10</v>
      </c>
    </row>
    <row r="205" spans="5:10" x14ac:dyDescent="0.3">
      <c r="E205">
        <f t="shared" ca="1" si="24"/>
        <v>9</v>
      </c>
      <c r="F205">
        <f t="shared" ca="1" si="24"/>
        <v>33</v>
      </c>
      <c r="G205" t="b">
        <f t="shared" ca="1" si="20"/>
        <v>1</v>
      </c>
      <c r="H205" t="b">
        <f t="shared" ca="1" si="21"/>
        <v>1</v>
      </c>
      <c r="I205" t="b">
        <f t="shared" ca="1" si="22"/>
        <v>0</v>
      </c>
      <c r="J205">
        <f t="shared" ca="1" si="23"/>
        <v>20</v>
      </c>
    </row>
    <row r="206" spans="5:10" x14ac:dyDescent="0.3">
      <c r="E206">
        <f t="shared" ca="1" si="24"/>
        <v>7</v>
      </c>
      <c r="F206">
        <f t="shared" ca="1" si="24"/>
        <v>3</v>
      </c>
      <c r="G206" t="b">
        <f t="shared" ca="1" si="20"/>
        <v>0</v>
      </c>
      <c r="H206" t="b">
        <f t="shared" ca="1" si="21"/>
        <v>1</v>
      </c>
      <c r="I206" t="b">
        <f t="shared" ca="1" si="22"/>
        <v>0</v>
      </c>
      <c r="J206">
        <f t="shared" ca="1" si="23"/>
        <v>20</v>
      </c>
    </row>
    <row r="207" spans="5:10" x14ac:dyDescent="0.3">
      <c r="E207">
        <f t="shared" ca="1" si="24"/>
        <v>28</v>
      </c>
      <c r="F207">
        <f t="shared" ca="1" si="24"/>
        <v>1</v>
      </c>
      <c r="G207" t="b">
        <f t="shared" ca="1" si="20"/>
        <v>1</v>
      </c>
      <c r="H207" t="b">
        <f t="shared" ca="1" si="21"/>
        <v>1</v>
      </c>
      <c r="I207" t="b">
        <f t="shared" ca="1" si="22"/>
        <v>1</v>
      </c>
      <c r="J207">
        <f t="shared" ca="1" si="23"/>
        <v>20</v>
      </c>
    </row>
    <row r="208" spans="5:10" x14ac:dyDescent="0.3">
      <c r="E208">
        <f t="shared" ca="1" si="24"/>
        <v>25</v>
      </c>
      <c r="F208">
        <f t="shared" ca="1" si="24"/>
        <v>16</v>
      </c>
      <c r="G208" t="b">
        <f t="shared" ca="1" si="20"/>
        <v>1</v>
      </c>
      <c r="H208" t="b">
        <f t="shared" ca="1" si="21"/>
        <v>1</v>
      </c>
      <c r="I208" t="b">
        <f t="shared" ca="1" si="22"/>
        <v>1</v>
      </c>
      <c r="J208">
        <f t="shared" ca="1" si="23"/>
        <v>20</v>
      </c>
    </row>
    <row r="209" spans="5:10" x14ac:dyDescent="0.3">
      <c r="E209">
        <f t="shared" ca="1" si="24"/>
        <v>39</v>
      </c>
      <c r="F209">
        <f t="shared" ca="1" si="24"/>
        <v>16</v>
      </c>
      <c r="G209" t="b">
        <f t="shared" ca="1" si="20"/>
        <v>1</v>
      </c>
      <c r="H209" t="b">
        <f t="shared" ca="1" si="21"/>
        <v>1</v>
      </c>
      <c r="I209" t="b">
        <f t="shared" ca="1" si="22"/>
        <v>1</v>
      </c>
      <c r="J209">
        <f t="shared" ca="1" si="23"/>
        <v>20</v>
      </c>
    </row>
    <row r="210" spans="5:10" x14ac:dyDescent="0.3">
      <c r="E210">
        <f t="shared" ca="1" si="24"/>
        <v>12</v>
      </c>
      <c r="F210">
        <f t="shared" ca="1" si="24"/>
        <v>18</v>
      </c>
      <c r="G210" t="b">
        <f t="shared" ca="1" si="20"/>
        <v>0</v>
      </c>
      <c r="H210" t="b">
        <f t="shared" ca="1" si="21"/>
        <v>1</v>
      </c>
      <c r="I210" t="b">
        <f t="shared" ca="1" si="22"/>
        <v>1</v>
      </c>
      <c r="J210">
        <f t="shared" ca="1" si="23"/>
        <v>20</v>
      </c>
    </row>
    <row r="211" spans="5:10" x14ac:dyDescent="0.3">
      <c r="E211">
        <f t="shared" ca="1" si="24"/>
        <v>38</v>
      </c>
      <c r="F211">
        <f t="shared" ca="1" si="24"/>
        <v>29</v>
      </c>
      <c r="G211" t="b">
        <f t="shared" ca="1" si="20"/>
        <v>0</v>
      </c>
      <c r="H211" t="b">
        <f t="shared" ca="1" si="21"/>
        <v>1</v>
      </c>
      <c r="I211" t="b">
        <f t="shared" ca="1" si="22"/>
        <v>1</v>
      </c>
      <c r="J211">
        <f t="shared" ca="1" si="23"/>
        <v>20</v>
      </c>
    </row>
    <row r="212" spans="5:10" x14ac:dyDescent="0.3">
      <c r="E212">
        <f t="shared" ca="1" si="24"/>
        <v>27</v>
      </c>
      <c r="F212">
        <f t="shared" ca="1" si="24"/>
        <v>37</v>
      </c>
      <c r="G212" t="b">
        <f t="shared" ca="1" si="20"/>
        <v>0</v>
      </c>
      <c r="H212" t="b">
        <f t="shared" ca="1" si="21"/>
        <v>1</v>
      </c>
      <c r="I212" t="b">
        <f t="shared" ca="1" si="22"/>
        <v>1</v>
      </c>
      <c r="J212">
        <f t="shared" ca="1" si="23"/>
        <v>20</v>
      </c>
    </row>
    <row r="213" spans="5:10" x14ac:dyDescent="0.3">
      <c r="E213">
        <f t="shared" ca="1" si="24"/>
        <v>22</v>
      </c>
      <c r="F213">
        <f t="shared" ca="1" si="24"/>
        <v>33</v>
      </c>
      <c r="G213" t="b">
        <f t="shared" ca="1" si="20"/>
        <v>0</v>
      </c>
      <c r="H213" t="b">
        <f t="shared" ca="1" si="21"/>
        <v>1</v>
      </c>
      <c r="I213" t="b">
        <f t="shared" ca="1" si="22"/>
        <v>1</v>
      </c>
      <c r="J213">
        <f t="shared" ca="1" si="23"/>
        <v>20</v>
      </c>
    </row>
    <row r="214" spans="5:10" x14ac:dyDescent="0.3">
      <c r="E214">
        <f t="shared" ca="1" si="24"/>
        <v>17</v>
      </c>
      <c r="F214">
        <f t="shared" ca="1" si="24"/>
        <v>14</v>
      </c>
      <c r="G214" t="b">
        <f t="shared" ca="1" si="20"/>
        <v>0</v>
      </c>
      <c r="H214" t="b">
        <f t="shared" ca="1" si="21"/>
        <v>1</v>
      </c>
      <c r="I214" t="b">
        <f t="shared" ca="1" si="22"/>
        <v>1</v>
      </c>
      <c r="J214">
        <f t="shared" ca="1" si="23"/>
        <v>20</v>
      </c>
    </row>
    <row r="215" spans="5:10" x14ac:dyDescent="0.3">
      <c r="E215">
        <f t="shared" ca="1" si="24"/>
        <v>7</v>
      </c>
      <c r="F215">
        <f t="shared" ca="1" si="24"/>
        <v>37</v>
      </c>
      <c r="G215" t="b">
        <f t="shared" ca="1" si="20"/>
        <v>1</v>
      </c>
      <c r="H215" t="b">
        <f t="shared" ca="1" si="21"/>
        <v>1</v>
      </c>
      <c r="I215" t="b">
        <f t="shared" ca="1" si="22"/>
        <v>1</v>
      </c>
      <c r="J215">
        <f t="shared" ca="1" si="23"/>
        <v>20</v>
      </c>
    </row>
    <row r="216" spans="5:10" x14ac:dyDescent="0.3">
      <c r="E216">
        <f t="shared" ca="1" si="24"/>
        <v>10</v>
      </c>
      <c r="F216">
        <f t="shared" ca="1" si="24"/>
        <v>40</v>
      </c>
      <c r="G216" t="b">
        <f t="shared" ca="1" si="20"/>
        <v>1</v>
      </c>
      <c r="H216" t="b">
        <f t="shared" ca="1" si="21"/>
        <v>1</v>
      </c>
      <c r="I216" t="b">
        <f t="shared" ca="1" si="22"/>
        <v>1</v>
      </c>
      <c r="J216">
        <f t="shared" ca="1" si="23"/>
        <v>20</v>
      </c>
    </row>
    <row r="217" spans="5:10" x14ac:dyDescent="0.3">
      <c r="E217">
        <f t="shared" ca="1" si="24"/>
        <v>39</v>
      </c>
      <c r="F217">
        <f t="shared" ca="1" si="24"/>
        <v>13</v>
      </c>
      <c r="G217" t="b">
        <f t="shared" ca="1" si="20"/>
        <v>1</v>
      </c>
      <c r="H217" t="b">
        <f t="shared" ca="1" si="21"/>
        <v>1</v>
      </c>
      <c r="I217" t="b">
        <f t="shared" ca="1" si="22"/>
        <v>1</v>
      </c>
      <c r="J217">
        <f t="shared" ca="1" si="23"/>
        <v>20</v>
      </c>
    </row>
    <row r="218" spans="5:10" x14ac:dyDescent="0.3">
      <c r="E218">
        <f t="shared" ca="1" si="24"/>
        <v>37</v>
      </c>
      <c r="F218">
        <f t="shared" ca="1" si="24"/>
        <v>20</v>
      </c>
      <c r="G218" t="b">
        <f t="shared" ca="1" si="20"/>
        <v>1</v>
      </c>
      <c r="H218" t="b">
        <f t="shared" ca="1" si="21"/>
        <v>0</v>
      </c>
      <c r="I218" t="b">
        <f t="shared" ca="1" si="22"/>
        <v>1</v>
      </c>
      <c r="J218">
        <f t="shared" ca="1" si="23"/>
        <v>20</v>
      </c>
    </row>
    <row r="219" spans="5:10" x14ac:dyDescent="0.3">
      <c r="E219">
        <f t="shared" ca="1" si="24"/>
        <v>40</v>
      </c>
      <c r="F219">
        <f t="shared" ca="1" si="24"/>
        <v>17</v>
      </c>
      <c r="G219" t="b">
        <f t="shared" ca="1" si="20"/>
        <v>1</v>
      </c>
      <c r="H219" t="b">
        <f t="shared" ca="1" si="21"/>
        <v>0</v>
      </c>
      <c r="I219" t="b">
        <f t="shared" ca="1" si="22"/>
        <v>1</v>
      </c>
      <c r="J219">
        <f t="shared" ca="1" si="23"/>
        <v>20</v>
      </c>
    </row>
    <row r="220" spans="5:10" x14ac:dyDescent="0.3">
      <c r="E220">
        <f t="shared" ca="1" si="24"/>
        <v>13</v>
      </c>
      <c r="F220">
        <f t="shared" ca="1" si="24"/>
        <v>37</v>
      </c>
      <c r="G220" t="b">
        <f t="shared" ca="1" si="20"/>
        <v>1</v>
      </c>
      <c r="H220" t="b">
        <f t="shared" ca="1" si="21"/>
        <v>1</v>
      </c>
      <c r="I220" t="b">
        <f t="shared" ca="1" si="22"/>
        <v>0</v>
      </c>
      <c r="J220">
        <f t="shared" ca="1" si="23"/>
        <v>20</v>
      </c>
    </row>
    <row r="221" spans="5:10" x14ac:dyDescent="0.3">
      <c r="E221">
        <f t="shared" ca="1" si="24"/>
        <v>27</v>
      </c>
      <c r="F221">
        <f t="shared" ca="1" si="24"/>
        <v>26</v>
      </c>
      <c r="G221" t="b">
        <f t="shared" ca="1" si="20"/>
        <v>0</v>
      </c>
      <c r="H221" t="b">
        <f t="shared" ca="1" si="21"/>
        <v>0</v>
      </c>
      <c r="I221" t="b">
        <f t="shared" ca="1" si="22"/>
        <v>1</v>
      </c>
      <c r="J221">
        <f t="shared" ca="1" si="23"/>
        <v>10</v>
      </c>
    </row>
    <row r="222" spans="5:10" x14ac:dyDescent="0.3">
      <c r="E222">
        <f t="shared" ca="1" si="24"/>
        <v>23</v>
      </c>
      <c r="F222">
        <f t="shared" ca="1" si="24"/>
        <v>17</v>
      </c>
      <c r="G222" t="b">
        <f t="shared" ca="1" si="20"/>
        <v>1</v>
      </c>
      <c r="H222" t="b">
        <f t="shared" ca="1" si="21"/>
        <v>1</v>
      </c>
      <c r="I222" t="b">
        <f t="shared" ca="1" si="22"/>
        <v>1</v>
      </c>
      <c r="J222">
        <f t="shared" ca="1" si="23"/>
        <v>20</v>
      </c>
    </row>
    <row r="223" spans="5:10" x14ac:dyDescent="0.3">
      <c r="E223">
        <f t="shared" ca="1" si="24"/>
        <v>38</v>
      </c>
      <c r="F223">
        <f t="shared" ca="1" si="24"/>
        <v>4</v>
      </c>
      <c r="G223" t="b">
        <f t="shared" ca="1" si="20"/>
        <v>1</v>
      </c>
      <c r="H223" t="b">
        <f t="shared" ca="1" si="21"/>
        <v>1</v>
      </c>
      <c r="I223" t="b">
        <f t="shared" ca="1" si="22"/>
        <v>1</v>
      </c>
      <c r="J223">
        <f t="shared" ca="1" si="23"/>
        <v>20</v>
      </c>
    </row>
    <row r="224" spans="5:10" x14ac:dyDescent="0.3">
      <c r="E224">
        <f t="shared" ca="1" si="24"/>
        <v>7</v>
      </c>
      <c r="F224">
        <f t="shared" ca="1" si="24"/>
        <v>32</v>
      </c>
      <c r="G224" t="b">
        <f t="shared" ca="1" si="20"/>
        <v>1</v>
      </c>
      <c r="H224" t="b">
        <f t="shared" ca="1" si="21"/>
        <v>1</v>
      </c>
      <c r="I224" t="b">
        <f t="shared" ca="1" si="22"/>
        <v>1</v>
      </c>
      <c r="J224">
        <f t="shared" ca="1" si="23"/>
        <v>20</v>
      </c>
    </row>
    <row r="225" spans="5:10" x14ac:dyDescent="0.3">
      <c r="E225">
        <f t="shared" ca="1" si="24"/>
        <v>10</v>
      </c>
      <c r="F225">
        <f t="shared" ca="1" si="24"/>
        <v>22</v>
      </c>
      <c r="G225" t="b">
        <f t="shared" ca="1" si="20"/>
        <v>1</v>
      </c>
      <c r="H225" t="b">
        <f t="shared" ca="1" si="21"/>
        <v>1</v>
      </c>
      <c r="I225" t="b">
        <f t="shared" ca="1" si="22"/>
        <v>0</v>
      </c>
      <c r="J225">
        <f t="shared" ca="1" si="23"/>
        <v>20</v>
      </c>
    </row>
    <row r="226" spans="5:10" x14ac:dyDescent="0.3">
      <c r="E226">
        <f t="shared" ca="1" si="24"/>
        <v>1</v>
      </c>
      <c r="F226">
        <f t="shared" ca="1" si="24"/>
        <v>17</v>
      </c>
      <c r="G226" t="b">
        <f t="shared" ca="1" si="20"/>
        <v>0</v>
      </c>
      <c r="H226" t="b">
        <f t="shared" ca="1" si="21"/>
        <v>1</v>
      </c>
      <c r="I226" t="b">
        <f t="shared" ca="1" si="22"/>
        <v>0</v>
      </c>
      <c r="J226">
        <f t="shared" ca="1" si="23"/>
        <v>20</v>
      </c>
    </row>
    <row r="227" spans="5:10" x14ac:dyDescent="0.3">
      <c r="E227">
        <f t="shared" ca="1" si="24"/>
        <v>3</v>
      </c>
      <c r="F227">
        <f t="shared" ca="1" si="24"/>
        <v>20</v>
      </c>
      <c r="G227" t="b">
        <f t="shared" ca="1" si="20"/>
        <v>0</v>
      </c>
      <c r="H227" t="b">
        <f t="shared" ca="1" si="21"/>
        <v>1</v>
      </c>
      <c r="I227" t="b">
        <f t="shared" ca="1" si="22"/>
        <v>1</v>
      </c>
      <c r="J227">
        <f t="shared" ca="1" si="23"/>
        <v>20</v>
      </c>
    </row>
    <row r="228" spans="5:10" x14ac:dyDescent="0.3">
      <c r="E228">
        <f t="shared" ca="1" si="24"/>
        <v>24</v>
      </c>
      <c r="F228">
        <f t="shared" ca="1" si="24"/>
        <v>8</v>
      </c>
      <c r="G228" t="b">
        <f t="shared" ca="1" si="20"/>
        <v>1</v>
      </c>
      <c r="H228" t="b">
        <f t="shared" ca="1" si="21"/>
        <v>1</v>
      </c>
      <c r="I228" t="b">
        <f t="shared" ca="1" si="22"/>
        <v>0</v>
      </c>
      <c r="J228">
        <f t="shared" ca="1" si="23"/>
        <v>20</v>
      </c>
    </row>
    <row r="229" spans="5:10" x14ac:dyDescent="0.3">
      <c r="E229">
        <f t="shared" ca="1" si="24"/>
        <v>15</v>
      </c>
      <c r="F229">
        <f t="shared" ca="1" si="24"/>
        <v>24</v>
      </c>
      <c r="G229" t="b">
        <f t="shared" ca="1" si="20"/>
        <v>1</v>
      </c>
      <c r="H229" t="b">
        <f t="shared" ca="1" si="21"/>
        <v>1</v>
      </c>
      <c r="I229" t="b">
        <f t="shared" ca="1" si="22"/>
        <v>1</v>
      </c>
      <c r="J229">
        <f t="shared" ca="1" si="23"/>
        <v>20</v>
      </c>
    </row>
    <row r="230" spans="5:10" x14ac:dyDescent="0.3">
      <c r="E230">
        <f t="shared" ca="1" si="24"/>
        <v>21</v>
      </c>
      <c r="F230">
        <f t="shared" ca="1" si="24"/>
        <v>15</v>
      </c>
      <c r="G230" t="b">
        <f t="shared" ca="1" si="20"/>
        <v>1</v>
      </c>
      <c r="H230" t="b">
        <f t="shared" ca="1" si="21"/>
        <v>1</v>
      </c>
      <c r="I230" t="b">
        <f t="shared" ca="1" si="22"/>
        <v>1</v>
      </c>
      <c r="J230">
        <f t="shared" ca="1" si="23"/>
        <v>20</v>
      </c>
    </row>
    <row r="231" spans="5:10" x14ac:dyDescent="0.3">
      <c r="E231">
        <f t="shared" ca="1" si="24"/>
        <v>31</v>
      </c>
      <c r="F231">
        <f t="shared" ca="1" si="24"/>
        <v>30</v>
      </c>
      <c r="G231" t="b">
        <f t="shared" ca="1" si="20"/>
        <v>0</v>
      </c>
      <c r="H231" t="b">
        <f t="shared" ca="1" si="21"/>
        <v>0</v>
      </c>
      <c r="I231" t="b">
        <f t="shared" ca="1" si="22"/>
        <v>1</v>
      </c>
      <c r="J231">
        <f t="shared" ca="1" si="23"/>
        <v>10</v>
      </c>
    </row>
    <row r="232" spans="5:10" x14ac:dyDescent="0.3">
      <c r="E232">
        <f t="shared" ca="1" si="24"/>
        <v>9</v>
      </c>
      <c r="F232">
        <f t="shared" ca="1" si="24"/>
        <v>3</v>
      </c>
      <c r="G232" t="b">
        <f t="shared" ca="1" si="20"/>
        <v>0</v>
      </c>
      <c r="H232" t="b">
        <f t="shared" ca="1" si="21"/>
        <v>1</v>
      </c>
      <c r="I232" t="b">
        <f t="shared" ca="1" si="22"/>
        <v>1</v>
      </c>
      <c r="J232">
        <f t="shared" ca="1" si="23"/>
        <v>20</v>
      </c>
    </row>
    <row r="233" spans="5:10" x14ac:dyDescent="0.3">
      <c r="E233">
        <f t="shared" ca="1" si="24"/>
        <v>39</v>
      </c>
      <c r="F233">
        <f t="shared" ca="1" si="24"/>
        <v>15</v>
      </c>
      <c r="G233" t="b">
        <f t="shared" ca="1" si="20"/>
        <v>1</v>
      </c>
      <c r="H233" t="b">
        <f t="shared" ca="1" si="21"/>
        <v>1</v>
      </c>
      <c r="I233" t="b">
        <f t="shared" ca="1" si="22"/>
        <v>0</v>
      </c>
      <c r="J233">
        <f t="shared" ca="1" si="23"/>
        <v>20</v>
      </c>
    </row>
    <row r="234" spans="5:10" x14ac:dyDescent="0.3">
      <c r="E234">
        <f t="shared" ca="1" si="24"/>
        <v>22</v>
      </c>
      <c r="F234">
        <f t="shared" ca="1" si="24"/>
        <v>7</v>
      </c>
      <c r="G234" t="b">
        <f t="shared" ca="1" si="20"/>
        <v>1</v>
      </c>
      <c r="H234" t="b">
        <f t="shared" ca="1" si="21"/>
        <v>1</v>
      </c>
      <c r="I234" t="b">
        <f t="shared" ca="1" si="22"/>
        <v>1</v>
      </c>
      <c r="J234">
        <f t="shared" ca="1" si="23"/>
        <v>20</v>
      </c>
    </row>
    <row r="235" spans="5:10" x14ac:dyDescent="0.3">
      <c r="E235">
        <f t="shared" ca="1" si="24"/>
        <v>23</v>
      </c>
      <c r="F235">
        <f t="shared" ca="1" si="24"/>
        <v>10</v>
      </c>
      <c r="G235" t="b">
        <f t="shared" ca="1" si="20"/>
        <v>1</v>
      </c>
      <c r="H235" t="b">
        <f t="shared" ca="1" si="21"/>
        <v>1</v>
      </c>
      <c r="I235" t="b">
        <f t="shared" ca="1" si="22"/>
        <v>1</v>
      </c>
      <c r="J235">
        <f t="shared" ca="1" si="23"/>
        <v>20</v>
      </c>
    </row>
    <row r="236" spans="5:10" x14ac:dyDescent="0.3">
      <c r="E236">
        <f t="shared" ca="1" si="24"/>
        <v>17</v>
      </c>
      <c r="F236">
        <f t="shared" ca="1" si="24"/>
        <v>18</v>
      </c>
      <c r="G236" t="b">
        <f t="shared" ca="1" si="20"/>
        <v>0</v>
      </c>
      <c r="H236" t="b">
        <f t="shared" ca="1" si="21"/>
        <v>0</v>
      </c>
      <c r="I236" t="b">
        <f t="shared" ca="1" si="22"/>
        <v>1</v>
      </c>
      <c r="J236">
        <f t="shared" ca="1" si="23"/>
        <v>10</v>
      </c>
    </row>
    <row r="237" spans="5:10" x14ac:dyDescent="0.3">
      <c r="E237">
        <f t="shared" ca="1" si="24"/>
        <v>9</v>
      </c>
      <c r="F237">
        <f t="shared" ca="1" si="24"/>
        <v>31</v>
      </c>
      <c r="G237" t="b">
        <f t="shared" ca="1" si="20"/>
        <v>1</v>
      </c>
      <c r="H237" t="b">
        <f t="shared" ca="1" si="21"/>
        <v>0</v>
      </c>
      <c r="I237" t="b">
        <f t="shared" ca="1" si="22"/>
        <v>1</v>
      </c>
      <c r="J237">
        <f t="shared" ca="1" si="23"/>
        <v>20</v>
      </c>
    </row>
    <row r="238" spans="5:10" x14ac:dyDescent="0.3">
      <c r="E238">
        <f t="shared" ca="1" si="24"/>
        <v>33</v>
      </c>
      <c r="F238">
        <f t="shared" ca="1" si="24"/>
        <v>28</v>
      </c>
      <c r="G238" t="b">
        <f t="shared" ca="1" si="20"/>
        <v>0</v>
      </c>
      <c r="H238" t="b">
        <f t="shared" ca="1" si="21"/>
        <v>1</v>
      </c>
      <c r="I238" t="b">
        <f t="shared" ca="1" si="22"/>
        <v>1</v>
      </c>
      <c r="J238">
        <f t="shared" ca="1" si="23"/>
        <v>20</v>
      </c>
    </row>
    <row r="239" spans="5:10" x14ac:dyDescent="0.3">
      <c r="E239">
        <f t="shared" ca="1" si="24"/>
        <v>18</v>
      </c>
      <c r="F239">
        <f t="shared" ca="1" si="24"/>
        <v>32</v>
      </c>
      <c r="G239" t="b">
        <f t="shared" ca="1" si="20"/>
        <v>1</v>
      </c>
      <c r="H239" t="b">
        <f t="shared" ca="1" si="21"/>
        <v>1</v>
      </c>
      <c r="I239" t="b">
        <f t="shared" ca="1" si="22"/>
        <v>1</v>
      </c>
      <c r="J239">
        <f t="shared" ca="1" si="23"/>
        <v>20</v>
      </c>
    </row>
    <row r="240" spans="5:10" x14ac:dyDescent="0.3">
      <c r="E240">
        <f t="shared" ca="1" si="24"/>
        <v>12</v>
      </c>
      <c r="F240">
        <f t="shared" ca="1" si="24"/>
        <v>21</v>
      </c>
      <c r="G240" t="b">
        <f t="shared" ca="1" si="20"/>
        <v>1</v>
      </c>
      <c r="H240" t="b">
        <f t="shared" ca="1" si="21"/>
        <v>1</v>
      </c>
      <c r="I240" t="b">
        <f t="shared" ca="1" si="22"/>
        <v>1</v>
      </c>
      <c r="J240">
        <f t="shared" ca="1" si="23"/>
        <v>20</v>
      </c>
    </row>
    <row r="241" spans="5:10" x14ac:dyDescent="0.3">
      <c r="E241">
        <f t="shared" ca="1" si="24"/>
        <v>35</v>
      </c>
      <c r="F241">
        <f t="shared" ca="1" si="24"/>
        <v>35</v>
      </c>
      <c r="G241" t="b">
        <f t="shared" ca="1" si="20"/>
        <v>0</v>
      </c>
      <c r="H241" t="b">
        <f t="shared" ca="1" si="21"/>
        <v>0</v>
      </c>
      <c r="I241" t="b">
        <f t="shared" ca="1" si="22"/>
        <v>0</v>
      </c>
      <c r="J241">
        <f t="shared" ca="1" si="23"/>
        <v>0</v>
      </c>
    </row>
    <row r="242" spans="5:10" x14ac:dyDescent="0.3">
      <c r="E242">
        <f t="shared" ca="1" si="24"/>
        <v>32</v>
      </c>
      <c r="F242">
        <f t="shared" ca="1" si="24"/>
        <v>2</v>
      </c>
      <c r="G242" t="b">
        <f t="shared" ca="1" si="20"/>
        <v>1</v>
      </c>
      <c r="H242" t="b">
        <f t="shared" ca="1" si="21"/>
        <v>1</v>
      </c>
      <c r="I242" t="b">
        <f t="shared" ca="1" si="22"/>
        <v>1</v>
      </c>
      <c r="J242">
        <f t="shared" ca="1" si="23"/>
        <v>20</v>
      </c>
    </row>
    <row r="243" spans="5:10" x14ac:dyDescent="0.3">
      <c r="E243">
        <f t="shared" ca="1" si="24"/>
        <v>21</v>
      </c>
      <c r="F243">
        <f t="shared" ca="1" si="24"/>
        <v>36</v>
      </c>
      <c r="G243" t="b">
        <f t="shared" ca="1" si="20"/>
        <v>0</v>
      </c>
      <c r="H243" t="b">
        <f t="shared" ca="1" si="21"/>
        <v>1</v>
      </c>
      <c r="I243" t="b">
        <f t="shared" ca="1" si="22"/>
        <v>1</v>
      </c>
      <c r="J243">
        <f t="shared" ca="1" si="23"/>
        <v>20</v>
      </c>
    </row>
    <row r="244" spans="5:10" x14ac:dyDescent="0.3">
      <c r="E244">
        <f t="shared" ca="1" si="24"/>
        <v>29</v>
      </c>
      <c r="F244">
        <f t="shared" ca="1" si="24"/>
        <v>27</v>
      </c>
      <c r="G244" t="b">
        <f t="shared" ca="1" si="20"/>
        <v>0</v>
      </c>
      <c r="H244" t="b">
        <f t="shared" ca="1" si="21"/>
        <v>1</v>
      </c>
      <c r="I244" t="b">
        <f t="shared" ca="1" si="22"/>
        <v>1</v>
      </c>
      <c r="J244">
        <f t="shared" ca="1" si="23"/>
        <v>20</v>
      </c>
    </row>
    <row r="245" spans="5:10" x14ac:dyDescent="0.3">
      <c r="E245">
        <f t="shared" ca="1" si="24"/>
        <v>11</v>
      </c>
      <c r="F245">
        <f t="shared" ca="1" si="24"/>
        <v>31</v>
      </c>
      <c r="G245" t="b">
        <f t="shared" ca="1" si="20"/>
        <v>1</v>
      </c>
      <c r="H245" t="b">
        <f t="shared" ca="1" si="21"/>
        <v>0</v>
      </c>
      <c r="I245" t="b">
        <f t="shared" ca="1" si="22"/>
        <v>0</v>
      </c>
      <c r="J245">
        <f t="shared" ca="1" si="23"/>
        <v>20</v>
      </c>
    </row>
    <row r="246" spans="5:10" x14ac:dyDescent="0.3">
      <c r="E246">
        <f t="shared" ca="1" si="24"/>
        <v>17</v>
      </c>
      <c r="F246">
        <f t="shared" ca="1" si="24"/>
        <v>9</v>
      </c>
      <c r="G246" t="b">
        <f t="shared" ca="1" si="20"/>
        <v>0</v>
      </c>
      <c r="H246" t="b">
        <f t="shared" ca="1" si="21"/>
        <v>1</v>
      </c>
      <c r="I246" t="b">
        <f t="shared" ca="1" si="22"/>
        <v>0</v>
      </c>
      <c r="J246">
        <f t="shared" ca="1" si="23"/>
        <v>20</v>
      </c>
    </row>
    <row r="247" spans="5:10" x14ac:dyDescent="0.3">
      <c r="E247">
        <f t="shared" ca="1" si="24"/>
        <v>15</v>
      </c>
      <c r="F247">
        <f t="shared" ca="1" si="24"/>
        <v>24</v>
      </c>
      <c r="G247" t="b">
        <f t="shared" ca="1" si="20"/>
        <v>1</v>
      </c>
      <c r="H247" t="b">
        <f t="shared" ca="1" si="21"/>
        <v>1</v>
      </c>
      <c r="I247" t="b">
        <f t="shared" ca="1" si="22"/>
        <v>1</v>
      </c>
      <c r="J247">
        <f t="shared" ca="1" si="23"/>
        <v>20</v>
      </c>
    </row>
    <row r="248" spans="5:10" x14ac:dyDescent="0.3">
      <c r="E248">
        <f t="shared" ca="1" si="24"/>
        <v>20</v>
      </c>
      <c r="F248">
        <f t="shared" ca="1" si="24"/>
        <v>28</v>
      </c>
      <c r="G248" t="b">
        <f t="shared" ca="1" si="20"/>
        <v>1</v>
      </c>
      <c r="H248" t="b">
        <f t="shared" ca="1" si="21"/>
        <v>1</v>
      </c>
      <c r="I248" t="b">
        <f t="shared" ca="1" si="22"/>
        <v>0</v>
      </c>
      <c r="J248">
        <f t="shared" ca="1" si="23"/>
        <v>20</v>
      </c>
    </row>
    <row r="249" spans="5:10" x14ac:dyDescent="0.3">
      <c r="E249">
        <f t="shared" ca="1" si="24"/>
        <v>21</v>
      </c>
      <c r="F249">
        <f t="shared" ca="1" si="24"/>
        <v>33</v>
      </c>
      <c r="G249" t="b">
        <f t="shared" ca="1" si="20"/>
        <v>0</v>
      </c>
      <c r="H249" t="b">
        <f t="shared" ca="1" si="21"/>
        <v>1</v>
      </c>
      <c r="I249" t="b">
        <f t="shared" ca="1" si="22"/>
        <v>0</v>
      </c>
      <c r="J249">
        <f t="shared" ca="1" si="23"/>
        <v>20</v>
      </c>
    </row>
    <row r="250" spans="5:10" x14ac:dyDescent="0.3">
      <c r="E250">
        <f t="shared" ca="1" si="24"/>
        <v>40</v>
      </c>
      <c r="F250">
        <f t="shared" ca="1" si="24"/>
        <v>38</v>
      </c>
      <c r="G250" t="b">
        <f t="shared" ca="1" si="20"/>
        <v>0</v>
      </c>
      <c r="H250" t="b">
        <f t="shared" ca="1" si="21"/>
        <v>0</v>
      </c>
      <c r="I250" t="b">
        <f t="shared" ca="1" si="22"/>
        <v>1</v>
      </c>
      <c r="J250">
        <f t="shared" ca="1" si="23"/>
        <v>10</v>
      </c>
    </row>
    <row r="251" spans="5:10" x14ac:dyDescent="0.3">
      <c r="E251">
        <f t="shared" ca="1" si="24"/>
        <v>16</v>
      </c>
      <c r="F251">
        <f t="shared" ca="1" si="24"/>
        <v>19</v>
      </c>
      <c r="G251" t="b">
        <f t="shared" ca="1" si="20"/>
        <v>0</v>
      </c>
      <c r="H251" t="b">
        <f t="shared" ca="1" si="21"/>
        <v>1</v>
      </c>
      <c r="I251" t="b">
        <f t="shared" ca="1" si="22"/>
        <v>1</v>
      </c>
      <c r="J251">
        <f t="shared" ca="1" si="23"/>
        <v>20</v>
      </c>
    </row>
    <row r="252" spans="5:10" x14ac:dyDescent="0.3">
      <c r="E252">
        <f t="shared" ca="1" si="24"/>
        <v>18</v>
      </c>
      <c r="F252">
        <f t="shared" ca="1" si="24"/>
        <v>7</v>
      </c>
      <c r="G252" t="b">
        <f t="shared" ca="1" si="20"/>
        <v>0</v>
      </c>
      <c r="H252" t="b">
        <f t="shared" ca="1" si="21"/>
        <v>1</v>
      </c>
      <c r="I252" t="b">
        <f t="shared" ca="1" si="22"/>
        <v>1</v>
      </c>
      <c r="J252">
        <f t="shared" ca="1" si="23"/>
        <v>20</v>
      </c>
    </row>
    <row r="253" spans="5:10" x14ac:dyDescent="0.3">
      <c r="E253">
        <f t="shared" ca="1" si="24"/>
        <v>40</v>
      </c>
      <c r="F253">
        <f t="shared" ca="1" si="24"/>
        <v>39</v>
      </c>
      <c r="G253" t="b">
        <f t="shared" ref="G253:G316" ca="1" si="25">IF(INDEX($B$22:$B$61,MATCH(E253,$A$22:$A$61,0))=INDEX($B$22:$B$61,MATCH(F253,$A$22:$A$61,0)),FALSE,TRUE)</f>
        <v>0</v>
      </c>
      <c r="H253" t="b">
        <f t="shared" ref="H253:H316" ca="1" si="26">IF(INDEX($C$22:$C$61,MATCH(E253,$A$22:$A$61,0))=INDEX($C$22:$C$61,MATCH(F253,$A$22:$A$61,0)),FALSE,TRUE)</f>
        <v>0</v>
      </c>
      <c r="I253" t="b">
        <f t="shared" ref="I253:I316" ca="1" si="27">IF(INDEX($D$22:$D$61,MATCH(E253,$A$22:$A$61,0))=INDEX($D$22:$D$61,MATCH(F253,$A$22:$A$61,0)),FALSE,TRUE)</f>
        <v>1</v>
      </c>
      <c r="J253">
        <f t="shared" ref="J253:J316" ca="1" si="28">MAX(G253*$D$7,H253*$D$8,I253*$D$9)</f>
        <v>10</v>
      </c>
    </row>
    <row r="254" spans="5:10" x14ac:dyDescent="0.3">
      <c r="E254">
        <f t="shared" ca="1" si="24"/>
        <v>1</v>
      </c>
      <c r="F254">
        <f t="shared" ca="1" si="24"/>
        <v>25</v>
      </c>
      <c r="G254" t="b">
        <f t="shared" ca="1" si="25"/>
        <v>1</v>
      </c>
      <c r="H254" t="b">
        <f t="shared" ca="1" si="26"/>
        <v>1</v>
      </c>
      <c r="I254" t="b">
        <f t="shared" ca="1" si="27"/>
        <v>0</v>
      </c>
      <c r="J254">
        <f t="shared" ca="1" si="28"/>
        <v>20</v>
      </c>
    </row>
    <row r="255" spans="5:10" x14ac:dyDescent="0.3">
      <c r="E255">
        <f t="shared" ref="E255:F318" ca="1" si="29">ROUNDUP(40*RAND(),0)</f>
        <v>7</v>
      </c>
      <c r="F255">
        <f t="shared" ca="1" si="29"/>
        <v>31</v>
      </c>
      <c r="G255" t="b">
        <f t="shared" ca="1" si="25"/>
        <v>1</v>
      </c>
      <c r="H255" t="b">
        <f t="shared" ca="1" si="26"/>
        <v>1</v>
      </c>
      <c r="I255" t="b">
        <f t="shared" ca="1" si="27"/>
        <v>0</v>
      </c>
      <c r="J255">
        <f t="shared" ca="1" si="28"/>
        <v>20</v>
      </c>
    </row>
    <row r="256" spans="5:10" x14ac:dyDescent="0.3">
      <c r="E256">
        <f t="shared" ca="1" si="29"/>
        <v>25</v>
      </c>
      <c r="F256">
        <f t="shared" ca="1" si="29"/>
        <v>6</v>
      </c>
      <c r="G256" t="b">
        <f t="shared" ca="1" si="25"/>
        <v>1</v>
      </c>
      <c r="H256" t="b">
        <f t="shared" ca="1" si="26"/>
        <v>0</v>
      </c>
      <c r="I256" t="b">
        <f t="shared" ca="1" si="27"/>
        <v>1</v>
      </c>
      <c r="J256">
        <f t="shared" ca="1" si="28"/>
        <v>20</v>
      </c>
    </row>
    <row r="257" spans="5:10" x14ac:dyDescent="0.3">
      <c r="E257">
        <f t="shared" ca="1" si="29"/>
        <v>15</v>
      </c>
      <c r="F257">
        <f t="shared" ca="1" si="29"/>
        <v>2</v>
      </c>
      <c r="G257" t="b">
        <f t="shared" ca="1" si="25"/>
        <v>0</v>
      </c>
      <c r="H257" t="b">
        <f t="shared" ca="1" si="26"/>
        <v>1</v>
      </c>
      <c r="I257" t="b">
        <f t="shared" ca="1" si="27"/>
        <v>1</v>
      </c>
      <c r="J257">
        <f t="shared" ca="1" si="28"/>
        <v>20</v>
      </c>
    </row>
    <row r="258" spans="5:10" x14ac:dyDescent="0.3">
      <c r="E258">
        <f t="shared" ca="1" si="29"/>
        <v>25</v>
      </c>
      <c r="F258">
        <f t="shared" ca="1" si="29"/>
        <v>10</v>
      </c>
      <c r="G258" t="b">
        <f t="shared" ca="1" si="25"/>
        <v>1</v>
      </c>
      <c r="H258" t="b">
        <f t="shared" ca="1" si="26"/>
        <v>1</v>
      </c>
      <c r="I258" t="b">
        <f t="shared" ca="1" si="27"/>
        <v>1</v>
      </c>
      <c r="J258">
        <f t="shared" ca="1" si="28"/>
        <v>20</v>
      </c>
    </row>
    <row r="259" spans="5:10" x14ac:dyDescent="0.3">
      <c r="E259">
        <f t="shared" ca="1" si="29"/>
        <v>22</v>
      </c>
      <c r="F259">
        <f t="shared" ca="1" si="29"/>
        <v>40</v>
      </c>
      <c r="G259" t="b">
        <f t="shared" ca="1" si="25"/>
        <v>0</v>
      </c>
      <c r="H259" t="b">
        <f t="shared" ca="1" si="26"/>
        <v>1</v>
      </c>
      <c r="I259" t="b">
        <f t="shared" ca="1" si="27"/>
        <v>1</v>
      </c>
      <c r="J259">
        <f t="shared" ca="1" si="28"/>
        <v>20</v>
      </c>
    </row>
    <row r="260" spans="5:10" x14ac:dyDescent="0.3">
      <c r="E260">
        <f t="shared" ca="1" si="29"/>
        <v>39</v>
      </c>
      <c r="F260">
        <f t="shared" ca="1" si="29"/>
        <v>1</v>
      </c>
      <c r="G260" t="b">
        <f t="shared" ca="1" si="25"/>
        <v>1</v>
      </c>
      <c r="H260" t="b">
        <f t="shared" ca="1" si="26"/>
        <v>1</v>
      </c>
      <c r="I260" t="b">
        <f t="shared" ca="1" si="27"/>
        <v>1</v>
      </c>
      <c r="J260">
        <f t="shared" ca="1" si="28"/>
        <v>20</v>
      </c>
    </row>
    <row r="261" spans="5:10" x14ac:dyDescent="0.3">
      <c r="E261">
        <f t="shared" ca="1" si="29"/>
        <v>17</v>
      </c>
      <c r="F261">
        <f t="shared" ca="1" si="29"/>
        <v>5</v>
      </c>
      <c r="G261" t="b">
        <f t="shared" ca="1" si="25"/>
        <v>0</v>
      </c>
      <c r="H261" t="b">
        <f t="shared" ca="1" si="26"/>
        <v>1</v>
      </c>
      <c r="I261" t="b">
        <f t="shared" ca="1" si="27"/>
        <v>0</v>
      </c>
      <c r="J261">
        <f t="shared" ca="1" si="28"/>
        <v>20</v>
      </c>
    </row>
    <row r="262" spans="5:10" x14ac:dyDescent="0.3">
      <c r="E262">
        <f t="shared" ca="1" si="29"/>
        <v>7</v>
      </c>
      <c r="F262">
        <f t="shared" ca="1" si="29"/>
        <v>10</v>
      </c>
      <c r="G262" t="b">
        <f t="shared" ca="1" si="25"/>
        <v>0</v>
      </c>
      <c r="H262" t="b">
        <f t="shared" ca="1" si="26"/>
        <v>1</v>
      </c>
      <c r="I262" t="b">
        <f t="shared" ca="1" si="27"/>
        <v>1</v>
      </c>
      <c r="J262">
        <f t="shared" ca="1" si="28"/>
        <v>20</v>
      </c>
    </row>
    <row r="263" spans="5:10" x14ac:dyDescent="0.3">
      <c r="E263">
        <f t="shared" ca="1" si="29"/>
        <v>11</v>
      </c>
      <c r="F263">
        <f t="shared" ca="1" si="29"/>
        <v>15</v>
      </c>
      <c r="G263" t="b">
        <f t="shared" ca="1" si="25"/>
        <v>0</v>
      </c>
      <c r="H263" t="b">
        <f t="shared" ca="1" si="26"/>
        <v>1</v>
      </c>
      <c r="I263" t="b">
        <f t="shared" ca="1" si="27"/>
        <v>0</v>
      </c>
      <c r="J263">
        <f t="shared" ca="1" si="28"/>
        <v>20</v>
      </c>
    </row>
    <row r="264" spans="5:10" x14ac:dyDescent="0.3">
      <c r="E264">
        <f t="shared" ca="1" si="29"/>
        <v>13</v>
      </c>
      <c r="F264">
        <f t="shared" ca="1" si="29"/>
        <v>12</v>
      </c>
      <c r="G264" t="b">
        <f t="shared" ca="1" si="25"/>
        <v>0</v>
      </c>
      <c r="H264" t="b">
        <f t="shared" ca="1" si="26"/>
        <v>1</v>
      </c>
      <c r="I264" t="b">
        <f t="shared" ca="1" si="27"/>
        <v>1</v>
      </c>
      <c r="J264">
        <f t="shared" ca="1" si="28"/>
        <v>20</v>
      </c>
    </row>
    <row r="265" spans="5:10" x14ac:dyDescent="0.3">
      <c r="E265">
        <f t="shared" ca="1" si="29"/>
        <v>9</v>
      </c>
      <c r="F265">
        <f t="shared" ca="1" si="29"/>
        <v>16</v>
      </c>
      <c r="G265" t="b">
        <f t="shared" ca="1" si="25"/>
        <v>0</v>
      </c>
      <c r="H265" t="b">
        <f t="shared" ca="1" si="26"/>
        <v>1</v>
      </c>
      <c r="I265" t="b">
        <f t="shared" ca="1" si="27"/>
        <v>1</v>
      </c>
      <c r="J265">
        <f t="shared" ca="1" si="28"/>
        <v>20</v>
      </c>
    </row>
    <row r="266" spans="5:10" x14ac:dyDescent="0.3">
      <c r="E266">
        <f t="shared" ca="1" si="29"/>
        <v>30</v>
      </c>
      <c r="F266">
        <f t="shared" ca="1" si="29"/>
        <v>16</v>
      </c>
      <c r="G266" t="b">
        <f t="shared" ca="1" si="25"/>
        <v>1</v>
      </c>
      <c r="H266" t="b">
        <f t="shared" ca="1" si="26"/>
        <v>1</v>
      </c>
      <c r="I266" t="b">
        <f t="shared" ca="1" si="27"/>
        <v>1</v>
      </c>
      <c r="J266">
        <f t="shared" ca="1" si="28"/>
        <v>20</v>
      </c>
    </row>
    <row r="267" spans="5:10" x14ac:dyDescent="0.3">
      <c r="E267">
        <f t="shared" ca="1" si="29"/>
        <v>19</v>
      </c>
      <c r="F267">
        <f t="shared" ca="1" si="29"/>
        <v>6</v>
      </c>
      <c r="G267" t="b">
        <f t="shared" ca="1" si="25"/>
        <v>0</v>
      </c>
      <c r="H267" t="b">
        <f t="shared" ca="1" si="26"/>
        <v>1</v>
      </c>
      <c r="I267" t="b">
        <f t="shared" ca="1" si="27"/>
        <v>1</v>
      </c>
      <c r="J267">
        <f t="shared" ca="1" si="28"/>
        <v>20</v>
      </c>
    </row>
    <row r="268" spans="5:10" x14ac:dyDescent="0.3">
      <c r="E268">
        <f t="shared" ca="1" si="29"/>
        <v>27</v>
      </c>
      <c r="F268">
        <f t="shared" ca="1" si="29"/>
        <v>31</v>
      </c>
      <c r="G268" t="b">
        <f t="shared" ca="1" si="25"/>
        <v>0</v>
      </c>
      <c r="H268" t="b">
        <f t="shared" ca="1" si="26"/>
        <v>1</v>
      </c>
      <c r="I268" t="b">
        <f t="shared" ca="1" si="27"/>
        <v>0</v>
      </c>
      <c r="J268">
        <f t="shared" ca="1" si="28"/>
        <v>20</v>
      </c>
    </row>
    <row r="269" spans="5:10" x14ac:dyDescent="0.3">
      <c r="E269">
        <f t="shared" ca="1" si="29"/>
        <v>30</v>
      </c>
      <c r="F269">
        <f t="shared" ca="1" si="29"/>
        <v>28</v>
      </c>
      <c r="G269" t="b">
        <f t="shared" ca="1" si="25"/>
        <v>0</v>
      </c>
      <c r="H269" t="b">
        <f t="shared" ca="1" si="26"/>
        <v>1</v>
      </c>
      <c r="I269" t="b">
        <f t="shared" ca="1" si="27"/>
        <v>1</v>
      </c>
      <c r="J269">
        <f t="shared" ca="1" si="28"/>
        <v>20</v>
      </c>
    </row>
    <row r="270" spans="5:10" x14ac:dyDescent="0.3">
      <c r="E270">
        <f t="shared" ca="1" si="29"/>
        <v>9</v>
      </c>
      <c r="F270">
        <f t="shared" ca="1" si="29"/>
        <v>9</v>
      </c>
      <c r="G270" t="b">
        <f t="shared" ca="1" si="25"/>
        <v>0</v>
      </c>
      <c r="H270" t="b">
        <f t="shared" ca="1" si="26"/>
        <v>0</v>
      </c>
      <c r="I270" t="b">
        <f t="shared" ca="1" si="27"/>
        <v>0</v>
      </c>
      <c r="J270">
        <f t="shared" ca="1" si="28"/>
        <v>0</v>
      </c>
    </row>
    <row r="271" spans="5:10" x14ac:dyDescent="0.3">
      <c r="E271">
        <f t="shared" ca="1" si="29"/>
        <v>21</v>
      </c>
      <c r="F271">
        <f t="shared" ca="1" si="29"/>
        <v>5</v>
      </c>
      <c r="G271" t="b">
        <f t="shared" ca="1" si="25"/>
        <v>1</v>
      </c>
      <c r="H271" t="b">
        <f t="shared" ca="1" si="26"/>
        <v>1</v>
      </c>
      <c r="I271" t="b">
        <f t="shared" ca="1" si="27"/>
        <v>0</v>
      </c>
      <c r="J271">
        <f t="shared" ca="1" si="28"/>
        <v>20</v>
      </c>
    </row>
    <row r="272" spans="5:10" x14ac:dyDescent="0.3">
      <c r="E272">
        <f t="shared" ca="1" si="29"/>
        <v>33</v>
      </c>
      <c r="F272">
        <f t="shared" ca="1" si="29"/>
        <v>12</v>
      </c>
      <c r="G272" t="b">
        <f t="shared" ca="1" si="25"/>
        <v>1</v>
      </c>
      <c r="H272" t="b">
        <f t="shared" ca="1" si="26"/>
        <v>1</v>
      </c>
      <c r="I272" t="b">
        <f t="shared" ca="1" si="27"/>
        <v>1</v>
      </c>
      <c r="J272">
        <f t="shared" ca="1" si="28"/>
        <v>20</v>
      </c>
    </row>
    <row r="273" spans="5:10" x14ac:dyDescent="0.3">
      <c r="E273">
        <f t="shared" ca="1" si="29"/>
        <v>6</v>
      </c>
      <c r="F273">
        <f t="shared" ca="1" si="29"/>
        <v>2</v>
      </c>
      <c r="G273" t="b">
        <f t="shared" ca="1" si="25"/>
        <v>0</v>
      </c>
      <c r="H273" t="b">
        <f t="shared" ca="1" si="26"/>
        <v>1</v>
      </c>
      <c r="I273" t="b">
        <f t="shared" ca="1" si="27"/>
        <v>0</v>
      </c>
      <c r="J273">
        <f t="shared" ca="1" si="28"/>
        <v>20</v>
      </c>
    </row>
    <row r="274" spans="5:10" x14ac:dyDescent="0.3">
      <c r="E274">
        <f t="shared" ca="1" si="29"/>
        <v>9</v>
      </c>
      <c r="F274">
        <f t="shared" ca="1" si="29"/>
        <v>35</v>
      </c>
      <c r="G274" t="b">
        <f t="shared" ca="1" si="25"/>
        <v>1</v>
      </c>
      <c r="H274" t="b">
        <f t="shared" ca="1" si="26"/>
        <v>1</v>
      </c>
      <c r="I274" t="b">
        <f t="shared" ca="1" si="27"/>
        <v>1</v>
      </c>
      <c r="J274">
        <f t="shared" ca="1" si="28"/>
        <v>20</v>
      </c>
    </row>
    <row r="275" spans="5:10" x14ac:dyDescent="0.3">
      <c r="E275">
        <f t="shared" ca="1" si="29"/>
        <v>37</v>
      </c>
      <c r="F275">
        <f t="shared" ca="1" si="29"/>
        <v>34</v>
      </c>
      <c r="G275" t="b">
        <f t="shared" ca="1" si="25"/>
        <v>0</v>
      </c>
      <c r="H275" t="b">
        <f t="shared" ca="1" si="26"/>
        <v>1</v>
      </c>
      <c r="I275" t="b">
        <f t="shared" ca="1" si="27"/>
        <v>1</v>
      </c>
      <c r="J275">
        <f t="shared" ca="1" si="28"/>
        <v>20</v>
      </c>
    </row>
    <row r="276" spans="5:10" x14ac:dyDescent="0.3">
      <c r="E276">
        <f t="shared" ca="1" si="29"/>
        <v>28</v>
      </c>
      <c r="F276">
        <f t="shared" ca="1" si="29"/>
        <v>37</v>
      </c>
      <c r="G276" t="b">
        <f t="shared" ca="1" si="25"/>
        <v>0</v>
      </c>
      <c r="H276" t="b">
        <f t="shared" ca="1" si="26"/>
        <v>1</v>
      </c>
      <c r="I276" t="b">
        <f t="shared" ca="1" si="27"/>
        <v>1</v>
      </c>
      <c r="J276">
        <f t="shared" ca="1" si="28"/>
        <v>20</v>
      </c>
    </row>
    <row r="277" spans="5:10" x14ac:dyDescent="0.3">
      <c r="E277">
        <f t="shared" ca="1" si="29"/>
        <v>1</v>
      </c>
      <c r="F277">
        <f t="shared" ca="1" si="29"/>
        <v>32</v>
      </c>
      <c r="G277" t="b">
        <f t="shared" ca="1" si="25"/>
        <v>1</v>
      </c>
      <c r="H277" t="b">
        <f t="shared" ca="1" si="26"/>
        <v>1</v>
      </c>
      <c r="I277" t="b">
        <f t="shared" ca="1" si="27"/>
        <v>1</v>
      </c>
      <c r="J277">
        <f t="shared" ca="1" si="28"/>
        <v>20</v>
      </c>
    </row>
    <row r="278" spans="5:10" x14ac:dyDescent="0.3">
      <c r="E278">
        <f t="shared" ca="1" si="29"/>
        <v>23</v>
      </c>
      <c r="F278">
        <f t="shared" ca="1" si="29"/>
        <v>36</v>
      </c>
      <c r="G278" t="b">
        <f t="shared" ca="1" si="25"/>
        <v>0</v>
      </c>
      <c r="H278" t="b">
        <f t="shared" ca="1" si="26"/>
        <v>1</v>
      </c>
      <c r="I278" t="b">
        <f t="shared" ca="1" si="27"/>
        <v>1</v>
      </c>
      <c r="J278">
        <f t="shared" ca="1" si="28"/>
        <v>20</v>
      </c>
    </row>
    <row r="279" spans="5:10" x14ac:dyDescent="0.3">
      <c r="E279">
        <f t="shared" ca="1" si="29"/>
        <v>25</v>
      </c>
      <c r="F279">
        <f t="shared" ca="1" si="29"/>
        <v>10</v>
      </c>
      <c r="G279" t="b">
        <f t="shared" ca="1" si="25"/>
        <v>1</v>
      </c>
      <c r="H279" t="b">
        <f t="shared" ca="1" si="26"/>
        <v>1</v>
      </c>
      <c r="I279" t="b">
        <f t="shared" ca="1" si="27"/>
        <v>1</v>
      </c>
      <c r="J279">
        <f t="shared" ca="1" si="28"/>
        <v>20</v>
      </c>
    </row>
    <row r="280" spans="5:10" x14ac:dyDescent="0.3">
      <c r="E280">
        <f t="shared" ca="1" si="29"/>
        <v>9</v>
      </c>
      <c r="F280">
        <f t="shared" ca="1" si="29"/>
        <v>8</v>
      </c>
      <c r="G280" t="b">
        <f t="shared" ca="1" si="25"/>
        <v>0</v>
      </c>
      <c r="H280" t="b">
        <f t="shared" ca="1" si="26"/>
        <v>1</v>
      </c>
      <c r="I280" t="b">
        <f t="shared" ca="1" si="27"/>
        <v>1</v>
      </c>
      <c r="J280">
        <f t="shared" ca="1" si="28"/>
        <v>20</v>
      </c>
    </row>
    <row r="281" spans="5:10" x14ac:dyDescent="0.3">
      <c r="E281">
        <f t="shared" ca="1" si="29"/>
        <v>32</v>
      </c>
      <c r="F281">
        <f t="shared" ca="1" si="29"/>
        <v>21</v>
      </c>
      <c r="G281" t="b">
        <f t="shared" ca="1" si="25"/>
        <v>0</v>
      </c>
      <c r="H281" t="b">
        <f t="shared" ca="1" si="26"/>
        <v>1</v>
      </c>
      <c r="I281" t="b">
        <f t="shared" ca="1" si="27"/>
        <v>1</v>
      </c>
      <c r="J281">
        <f t="shared" ca="1" si="28"/>
        <v>20</v>
      </c>
    </row>
    <row r="282" spans="5:10" x14ac:dyDescent="0.3">
      <c r="E282">
        <f t="shared" ca="1" si="29"/>
        <v>1</v>
      </c>
      <c r="F282">
        <f t="shared" ca="1" si="29"/>
        <v>2</v>
      </c>
      <c r="G282" t="b">
        <f t="shared" ca="1" si="25"/>
        <v>0</v>
      </c>
      <c r="H282" t="b">
        <f t="shared" ca="1" si="26"/>
        <v>0</v>
      </c>
      <c r="I282" t="b">
        <f t="shared" ca="1" si="27"/>
        <v>1</v>
      </c>
      <c r="J282">
        <f t="shared" ca="1" si="28"/>
        <v>10</v>
      </c>
    </row>
    <row r="283" spans="5:10" x14ac:dyDescent="0.3">
      <c r="E283">
        <f t="shared" ca="1" si="29"/>
        <v>16</v>
      </c>
      <c r="F283">
        <f t="shared" ca="1" si="29"/>
        <v>18</v>
      </c>
      <c r="G283" t="b">
        <f t="shared" ca="1" si="25"/>
        <v>0</v>
      </c>
      <c r="H283" t="b">
        <f t="shared" ca="1" si="26"/>
        <v>1</v>
      </c>
      <c r="I283" t="b">
        <f t="shared" ca="1" si="27"/>
        <v>1</v>
      </c>
      <c r="J283">
        <f t="shared" ca="1" si="28"/>
        <v>20</v>
      </c>
    </row>
    <row r="284" spans="5:10" x14ac:dyDescent="0.3">
      <c r="E284">
        <f t="shared" ca="1" si="29"/>
        <v>20</v>
      </c>
      <c r="F284">
        <f t="shared" ca="1" si="29"/>
        <v>40</v>
      </c>
      <c r="G284" t="b">
        <f t="shared" ca="1" si="25"/>
        <v>1</v>
      </c>
      <c r="H284" t="b">
        <f t="shared" ca="1" si="26"/>
        <v>0</v>
      </c>
      <c r="I284" t="b">
        <f t="shared" ca="1" si="27"/>
        <v>0</v>
      </c>
      <c r="J284">
        <f t="shared" ca="1" si="28"/>
        <v>20</v>
      </c>
    </row>
    <row r="285" spans="5:10" x14ac:dyDescent="0.3">
      <c r="E285">
        <f t="shared" ca="1" si="29"/>
        <v>10</v>
      </c>
      <c r="F285">
        <f t="shared" ca="1" si="29"/>
        <v>31</v>
      </c>
      <c r="G285" t="b">
        <f t="shared" ca="1" si="25"/>
        <v>1</v>
      </c>
      <c r="H285" t="b">
        <f t="shared" ca="1" si="26"/>
        <v>0</v>
      </c>
      <c r="I285" t="b">
        <f t="shared" ca="1" si="27"/>
        <v>1</v>
      </c>
      <c r="J285">
        <f t="shared" ca="1" si="28"/>
        <v>20</v>
      </c>
    </row>
    <row r="286" spans="5:10" x14ac:dyDescent="0.3">
      <c r="E286">
        <f t="shared" ca="1" si="29"/>
        <v>29</v>
      </c>
      <c r="F286">
        <f t="shared" ca="1" si="29"/>
        <v>39</v>
      </c>
      <c r="G286" t="b">
        <f t="shared" ca="1" si="25"/>
        <v>0</v>
      </c>
      <c r="H286" t="b">
        <f t="shared" ca="1" si="26"/>
        <v>1</v>
      </c>
      <c r="I286" t="b">
        <f t="shared" ca="1" si="27"/>
        <v>1</v>
      </c>
      <c r="J286">
        <f t="shared" ca="1" si="28"/>
        <v>20</v>
      </c>
    </row>
    <row r="287" spans="5:10" x14ac:dyDescent="0.3">
      <c r="E287">
        <f t="shared" ca="1" si="29"/>
        <v>22</v>
      </c>
      <c r="F287">
        <f t="shared" ca="1" si="29"/>
        <v>1</v>
      </c>
      <c r="G287" t="b">
        <f t="shared" ca="1" si="25"/>
        <v>1</v>
      </c>
      <c r="H287" t="b">
        <f t="shared" ca="1" si="26"/>
        <v>0</v>
      </c>
      <c r="I287" t="b">
        <f t="shared" ca="1" si="27"/>
        <v>1</v>
      </c>
      <c r="J287">
        <f t="shared" ca="1" si="28"/>
        <v>20</v>
      </c>
    </row>
    <row r="288" spans="5:10" x14ac:dyDescent="0.3">
      <c r="E288">
        <f t="shared" ca="1" si="29"/>
        <v>10</v>
      </c>
      <c r="F288">
        <f t="shared" ca="1" si="29"/>
        <v>24</v>
      </c>
      <c r="G288" t="b">
        <f t="shared" ca="1" si="25"/>
        <v>1</v>
      </c>
      <c r="H288" t="b">
        <f t="shared" ca="1" si="26"/>
        <v>1</v>
      </c>
      <c r="I288" t="b">
        <f t="shared" ca="1" si="27"/>
        <v>1</v>
      </c>
      <c r="J288">
        <f t="shared" ca="1" si="28"/>
        <v>20</v>
      </c>
    </row>
    <row r="289" spans="5:10" x14ac:dyDescent="0.3">
      <c r="E289">
        <f t="shared" ca="1" si="29"/>
        <v>20</v>
      </c>
      <c r="F289">
        <f t="shared" ca="1" si="29"/>
        <v>5</v>
      </c>
      <c r="G289" t="b">
        <f t="shared" ca="1" si="25"/>
        <v>0</v>
      </c>
      <c r="H289" t="b">
        <f t="shared" ca="1" si="26"/>
        <v>1</v>
      </c>
      <c r="I289" t="b">
        <f t="shared" ca="1" si="27"/>
        <v>1</v>
      </c>
      <c r="J289">
        <f t="shared" ca="1" si="28"/>
        <v>20</v>
      </c>
    </row>
    <row r="290" spans="5:10" x14ac:dyDescent="0.3">
      <c r="E290">
        <f t="shared" ca="1" si="29"/>
        <v>33</v>
      </c>
      <c r="F290">
        <f t="shared" ca="1" si="29"/>
        <v>11</v>
      </c>
      <c r="G290" t="b">
        <f t="shared" ca="1" si="25"/>
        <v>1</v>
      </c>
      <c r="H290" t="b">
        <f t="shared" ca="1" si="26"/>
        <v>1</v>
      </c>
      <c r="I290" t="b">
        <f t="shared" ca="1" si="27"/>
        <v>1</v>
      </c>
      <c r="J290">
        <f t="shared" ca="1" si="28"/>
        <v>20</v>
      </c>
    </row>
    <row r="291" spans="5:10" x14ac:dyDescent="0.3">
      <c r="E291">
        <f t="shared" ca="1" si="29"/>
        <v>39</v>
      </c>
      <c r="F291">
        <f t="shared" ca="1" si="29"/>
        <v>23</v>
      </c>
      <c r="G291" t="b">
        <f t="shared" ca="1" si="25"/>
        <v>0</v>
      </c>
      <c r="H291" t="b">
        <f t="shared" ca="1" si="26"/>
        <v>1</v>
      </c>
      <c r="I291" t="b">
        <f t="shared" ca="1" si="27"/>
        <v>0</v>
      </c>
      <c r="J291">
        <f t="shared" ca="1" si="28"/>
        <v>20</v>
      </c>
    </row>
    <row r="292" spans="5:10" x14ac:dyDescent="0.3">
      <c r="E292">
        <f t="shared" ca="1" si="29"/>
        <v>9</v>
      </c>
      <c r="F292">
        <f t="shared" ca="1" si="29"/>
        <v>39</v>
      </c>
      <c r="G292" t="b">
        <f t="shared" ca="1" si="25"/>
        <v>1</v>
      </c>
      <c r="H292" t="b">
        <f t="shared" ca="1" si="26"/>
        <v>1</v>
      </c>
      <c r="I292" t="b">
        <f t="shared" ca="1" si="27"/>
        <v>1</v>
      </c>
      <c r="J292">
        <f t="shared" ca="1" si="28"/>
        <v>20</v>
      </c>
    </row>
    <row r="293" spans="5:10" x14ac:dyDescent="0.3">
      <c r="E293">
        <f t="shared" ca="1" si="29"/>
        <v>3</v>
      </c>
      <c r="F293">
        <f t="shared" ca="1" si="29"/>
        <v>35</v>
      </c>
      <c r="G293" t="b">
        <f t="shared" ca="1" si="25"/>
        <v>1</v>
      </c>
      <c r="H293" t="b">
        <f t="shared" ca="1" si="26"/>
        <v>1</v>
      </c>
      <c r="I293" t="b">
        <f t="shared" ca="1" si="27"/>
        <v>0</v>
      </c>
      <c r="J293">
        <f t="shared" ca="1" si="28"/>
        <v>20</v>
      </c>
    </row>
    <row r="294" spans="5:10" x14ac:dyDescent="0.3">
      <c r="E294">
        <f t="shared" ca="1" si="29"/>
        <v>21</v>
      </c>
      <c r="F294">
        <f t="shared" ca="1" si="29"/>
        <v>12</v>
      </c>
      <c r="G294" t="b">
        <f t="shared" ca="1" si="25"/>
        <v>1</v>
      </c>
      <c r="H294" t="b">
        <f t="shared" ca="1" si="26"/>
        <v>1</v>
      </c>
      <c r="I294" t="b">
        <f t="shared" ca="1" si="27"/>
        <v>1</v>
      </c>
      <c r="J294">
        <f t="shared" ca="1" si="28"/>
        <v>20</v>
      </c>
    </row>
    <row r="295" spans="5:10" x14ac:dyDescent="0.3">
      <c r="E295">
        <f t="shared" ca="1" si="29"/>
        <v>11</v>
      </c>
      <c r="F295">
        <f t="shared" ca="1" si="29"/>
        <v>30</v>
      </c>
      <c r="G295" t="b">
        <f t="shared" ca="1" si="25"/>
        <v>1</v>
      </c>
      <c r="H295" t="b">
        <f t="shared" ca="1" si="26"/>
        <v>0</v>
      </c>
      <c r="I295" t="b">
        <f t="shared" ca="1" si="27"/>
        <v>1</v>
      </c>
      <c r="J295">
        <f t="shared" ca="1" si="28"/>
        <v>20</v>
      </c>
    </row>
    <row r="296" spans="5:10" x14ac:dyDescent="0.3">
      <c r="E296">
        <f t="shared" ca="1" si="29"/>
        <v>33</v>
      </c>
      <c r="F296">
        <f t="shared" ca="1" si="29"/>
        <v>20</v>
      </c>
      <c r="G296" t="b">
        <f t="shared" ca="1" si="25"/>
        <v>1</v>
      </c>
      <c r="H296" t="b">
        <f t="shared" ca="1" si="26"/>
        <v>1</v>
      </c>
      <c r="I296" t="b">
        <f t="shared" ca="1" si="27"/>
        <v>1</v>
      </c>
      <c r="J296">
        <f t="shared" ca="1" si="28"/>
        <v>20</v>
      </c>
    </row>
    <row r="297" spans="5:10" x14ac:dyDescent="0.3">
      <c r="E297">
        <f t="shared" ca="1" si="29"/>
        <v>13</v>
      </c>
      <c r="F297">
        <f t="shared" ca="1" si="29"/>
        <v>5</v>
      </c>
      <c r="G297" t="b">
        <f t="shared" ca="1" si="25"/>
        <v>0</v>
      </c>
      <c r="H297" t="b">
        <f t="shared" ca="1" si="26"/>
        <v>1</v>
      </c>
      <c r="I297" t="b">
        <f t="shared" ca="1" si="27"/>
        <v>0</v>
      </c>
      <c r="J297">
        <f t="shared" ca="1" si="28"/>
        <v>20</v>
      </c>
    </row>
    <row r="298" spans="5:10" x14ac:dyDescent="0.3">
      <c r="E298">
        <f t="shared" ca="1" si="29"/>
        <v>37</v>
      </c>
      <c r="F298">
        <f t="shared" ca="1" si="29"/>
        <v>34</v>
      </c>
      <c r="G298" t="b">
        <f t="shared" ca="1" si="25"/>
        <v>0</v>
      </c>
      <c r="H298" t="b">
        <f t="shared" ca="1" si="26"/>
        <v>1</v>
      </c>
      <c r="I298" t="b">
        <f t="shared" ca="1" si="27"/>
        <v>1</v>
      </c>
      <c r="J298">
        <f t="shared" ca="1" si="28"/>
        <v>20</v>
      </c>
    </row>
    <row r="299" spans="5:10" x14ac:dyDescent="0.3">
      <c r="E299">
        <f t="shared" ca="1" si="29"/>
        <v>31</v>
      </c>
      <c r="F299">
        <f t="shared" ca="1" si="29"/>
        <v>9</v>
      </c>
      <c r="G299" t="b">
        <f t="shared" ca="1" si="25"/>
        <v>1</v>
      </c>
      <c r="H299" t="b">
        <f t="shared" ca="1" si="26"/>
        <v>0</v>
      </c>
      <c r="I299" t="b">
        <f t="shared" ca="1" si="27"/>
        <v>1</v>
      </c>
      <c r="J299">
        <f t="shared" ca="1" si="28"/>
        <v>20</v>
      </c>
    </row>
    <row r="300" spans="5:10" x14ac:dyDescent="0.3">
      <c r="E300">
        <f t="shared" ca="1" si="29"/>
        <v>9</v>
      </c>
      <c r="F300">
        <f t="shared" ca="1" si="29"/>
        <v>33</v>
      </c>
      <c r="G300" t="b">
        <f t="shared" ca="1" si="25"/>
        <v>1</v>
      </c>
      <c r="H300" t="b">
        <f t="shared" ca="1" si="26"/>
        <v>1</v>
      </c>
      <c r="I300" t="b">
        <f t="shared" ca="1" si="27"/>
        <v>0</v>
      </c>
      <c r="J300">
        <f t="shared" ca="1" si="28"/>
        <v>20</v>
      </c>
    </row>
    <row r="301" spans="5:10" x14ac:dyDescent="0.3">
      <c r="E301">
        <f t="shared" ca="1" si="29"/>
        <v>18</v>
      </c>
      <c r="F301">
        <f t="shared" ca="1" si="29"/>
        <v>17</v>
      </c>
      <c r="G301" t="b">
        <f t="shared" ca="1" si="25"/>
        <v>0</v>
      </c>
      <c r="H301" t="b">
        <f t="shared" ca="1" si="26"/>
        <v>0</v>
      </c>
      <c r="I301" t="b">
        <f t="shared" ca="1" si="27"/>
        <v>1</v>
      </c>
      <c r="J301">
        <f t="shared" ca="1" si="28"/>
        <v>10</v>
      </c>
    </row>
    <row r="302" spans="5:10" x14ac:dyDescent="0.3">
      <c r="E302">
        <f t="shared" ca="1" si="29"/>
        <v>16</v>
      </c>
      <c r="F302">
        <f t="shared" ca="1" si="29"/>
        <v>40</v>
      </c>
      <c r="G302" t="b">
        <f t="shared" ca="1" si="25"/>
        <v>1</v>
      </c>
      <c r="H302" t="b">
        <f t="shared" ca="1" si="26"/>
        <v>1</v>
      </c>
      <c r="I302" t="b">
        <f t="shared" ca="1" si="27"/>
        <v>0</v>
      </c>
      <c r="J302">
        <f t="shared" ca="1" si="28"/>
        <v>20</v>
      </c>
    </row>
    <row r="303" spans="5:10" x14ac:dyDescent="0.3">
      <c r="E303">
        <f t="shared" ca="1" si="29"/>
        <v>3</v>
      </c>
      <c r="F303">
        <f t="shared" ca="1" si="29"/>
        <v>22</v>
      </c>
      <c r="G303" t="b">
        <f t="shared" ca="1" si="25"/>
        <v>1</v>
      </c>
      <c r="H303" t="b">
        <f t="shared" ca="1" si="26"/>
        <v>0</v>
      </c>
      <c r="I303" t="b">
        <f t="shared" ca="1" si="27"/>
        <v>1</v>
      </c>
      <c r="J303">
        <f t="shared" ca="1" si="28"/>
        <v>20</v>
      </c>
    </row>
    <row r="304" spans="5:10" x14ac:dyDescent="0.3">
      <c r="E304">
        <f t="shared" ca="1" si="29"/>
        <v>29</v>
      </c>
      <c r="F304">
        <f t="shared" ca="1" si="29"/>
        <v>34</v>
      </c>
      <c r="G304" t="b">
        <f t="shared" ca="1" si="25"/>
        <v>0</v>
      </c>
      <c r="H304" t="b">
        <f t="shared" ca="1" si="26"/>
        <v>1</v>
      </c>
      <c r="I304" t="b">
        <f t="shared" ca="1" si="27"/>
        <v>1</v>
      </c>
      <c r="J304">
        <f t="shared" ca="1" si="28"/>
        <v>20</v>
      </c>
    </row>
    <row r="305" spans="5:10" x14ac:dyDescent="0.3">
      <c r="E305">
        <f t="shared" ca="1" si="29"/>
        <v>8</v>
      </c>
      <c r="F305">
        <f t="shared" ca="1" si="29"/>
        <v>39</v>
      </c>
      <c r="G305" t="b">
        <f t="shared" ca="1" si="25"/>
        <v>1</v>
      </c>
      <c r="H305" t="b">
        <f t="shared" ca="1" si="26"/>
        <v>1</v>
      </c>
      <c r="I305" t="b">
        <f t="shared" ca="1" si="27"/>
        <v>1</v>
      </c>
      <c r="J305">
        <f t="shared" ca="1" si="28"/>
        <v>20</v>
      </c>
    </row>
    <row r="306" spans="5:10" x14ac:dyDescent="0.3">
      <c r="E306">
        <f t="shared" ca="1" si="29"/>
        <v>6</v>
      </c>
      <c r="F306">
        <f t="shared" ca="1" si="29"/>
        <v>23</v>
      </c>
      <c r="G306" t="b">
        <f t="shared" ca="1" si="25"/>
        <v>1</v>
      </c>
      <c r="H306" t="b">
        <f t="shared" ca="1" si="26"/>
        <v>1</v>
      </c>
      <c r="I306" t="b">
        <f t="shared" ca="1" si="27"/>
        <v>1</v>
      </c>
      <c r="J306">
        <f t="shared" ca="1" si="28"/>
        <v>20</v>
      </c>
    </row>
    <row r="307" spans="5:10" x14ac:dyDescent="0.3">
      <c r="E307">
        <f t="shared" ca="1" si="29"/>
        <v>25</v>
      </c>
      <c r="F307">
        <f t="shared" ca="1" si="29"/>
        <v>23</v>
      </c>
      <c r="G307" t="b">
        <f t="shared" ca="1" si="25"/>
        <v>0</v>
      </c>
      <c r="H307" t="b">
        <f t="shared" ca="1" si="26"/>
        <v>1</v>
      </c>
      <c r="I307" t="b">
        <f t="shared" ca="1" si="27"/>
        <v>1</v>
      </c>
      <c r="J307">
        <f t="shared" ca="1" si="28"/>
        <v>20</v>
      </c>
    </row>
    <row r="308" spans="5:10" x14ac:dyDescent="0.3">
      <c r="E308">
        <f t="shared" ca="1" si="29"/>
        <v>14</v>
      </c>
      <c r="F308">
        <f t="shared" ca="1" si="29"/>
        <v>10</v>
      </c>
      <c r="G308" t="b">
        <f t="shared" ca="1" si="25"/>
        <v>0</v>
      </c>
      <c r="H308" t="b">
        <f t="shared" ca="1" si="26"/>
        <v>1</v>
      </c>
      <c r="I308" t="b">
        <f t="shared" ca="1" si="27"/>
        <v>0</v>
      </c>
      <c r="J308">
        <f t="shared" ca="1" si="28"/>
        <v>20</v>
      </c>
    </row>
    <row r="309" spans="5:10" x14ac:dyDescent="0.3">
      <c r="E309">
        <f t="shared" ca="1" si="29"/>
        <v>5</v>
      </c>
      <c r="F309">
        <f t="shared" ca="1" si="29"/>
        <v>24</v>
      </c>
      <c r="G309" t="b">
        <f t="shared" ca="1" si="25"/>
        <v>1</v>
      </c>
      <c r="H309" t="b">
        <f t="shared" ca="1" si="26"/>
        <v>1</v>
      </c>
      <c r="I309" t="b">
        <f t="shared" ca="1" si="27"/>
        <v>1</v>
      </c>
      <c r="J309">
        <f t="shared" ca="1" si="28"/>
        <v>20</v>
      </c>
    </row>
    <row r="310" spans="5:10" x14ac:dyDescent="0.3">
      <c r="E310">
        <f t="shared" ca="1" si="29"/>
        <v>23</v>
      </c>
      <c r="F310">
        <f t="shared" ca="1" si="29"/>
        <v>10</v>
      </c>
      <c r="G310" t="b">
        <f t="shared" ca="1" si="25"/>
        <v>1</v>
      </c>
      <c r="H310" t="b">
        <f t="shared" ca="1" si="26"/>
        <v>1</v>
      </c>
      <c r="I310" t="b">
        <f t="shared" ca="1" si="27"/>
        <v>1</v>
      </c>
      <c r="J310">
        <f t="shared" ca="1" si="28"/>
        <v>20</v>
      </c>
    </row>
    <row r="311" spans="5:10" x14ac:dyDescent="0.3">
      <c r="E311">
        <f t="shared" ca="1" si="29"/>
        <v>15</v>
      </c>
      <c r="F311">
        <f t="shared" ca="1" si="29"/>
        <v>30</v>
      </c>
      <c r="G311" t="b">
        <f t="shared" ca="1" si="25"/>
        <v>1</v>
      </c>
      <c r="H311" t="b">
        <f t="shared" ca="1" si="26"/>
        <v>1</v>
      </c>
      <c r="I311" t="b">
        <f t="shared" ca="1" si="27"/>
        <v>1</v>
      </c>
      <c r="J311">
        <f t="shared" ca="1" si="28"/>
        <v>20</v>
      </c>
    </row>
    <row r="312" spans="5:10" x14ac:dyDescent="0.3">
      <c r="E312">
        <f t="shared" ca="1" si="29"/>
        <v>34</v>
      </c>
      <c r="F312">
        <f t="shared" ca="1" si="29"/>
        <v>29</v>
      </c>
      <c r="G312" t="b">
        <f t="shared" ca="1" si="25"/>
        <v>0</v>
      </c>
      <c r="H312" t="b">
        <f t="shared" ca="1" si="26"/>
        <v>1</v>
      </c>
      <c r="I312" t="b">
        <f t="shared" ca="1" si="27"/>
        <v>1</v>
      </c>
      <c r="J312">
        <f t="shared" ca="1" si="28"/>
        <v>20</v>
      </c>
    </row>
    <row r="313" spans="5:10" x14ac:dyDescent="0.3">
      <c r="E313">
        <f t="shared" ca="1" si="29"/>
        <v>18</v>
      </c>
      <c r="F313">
        <f t="shared" ca="1" si="29"/>
        <v>40</v>
      </c>
      <c r="G313" t="b">
        <f t="shared" ca="1" si="25"/>
        <v>1</v>
      </c>
      <c r="H313" t="b">
        <f t="shared" ca="1" si="26"/>
        <v>0</v>
      </c>
      <c r="I313" t="b">
        <f t="shared" ca="1" si="27"/>
        <v>1</v>
      </c>
      <c r="J313">
        <f t="shared" ca="1" si="28"/>
        <v>20</v>
      </c>
    </row>
    <row r="314" spans="5:10" x14ac:dyDescent="0.3">
      <c r="E314">
        <f t="shared" ca="1" si="29"/>
        <v>34</v>
      </c>
      <c r="F314">
        <f t="shared" ca="1" si="29"/>
        <v>3</v>
      </c>
      <c r="G314" t="b">
        <f t="shared" ca="1" si="25"/>
        <v>1</v>
      </c>
      <c r="H314" t="b">
        <f t="shared" ca="1" si="26"/>
        <v>1</v>
      </c>
      <c r="I314" t="b">
        <f t="shared" ca="1" si="27"/>
        <v>1</v>
      </c>
      <c r="J314">
        <f t="shared" ca="1" si="28"/>
        <v>20</v>
      </c>
    </row>
    <row r="315" spans="5:10" x14ac:dyDescent="0.3">
      <c r="E315">
        <f t="shared" ca="1" si="29"/>
        <v>38</v>
      </c>
      <c r="F315">
        <f t="shared" ca="1" si="29"/>
        <v>2</v>
      </c>
      <c r="G315" t="b">
        <f t="shared" ca="1" si="25"/>
        <v>1</v>
      </c>
      <c r="H315" t="b">
        <f t="shared" ca="1" si="26"/>
        <v>1</v>
      </c>
      <c r="I315" t="b">
        <f t="shared" ca="1" si="27"/>
        <v>0</v>
      </c>
      <c r="J315">
        <f t="shared" ca="1" si="28"/>
        <v>20</v>
      </c>
    </row>
    <row r="316" spans="5:10" x14ac:dyDescent="0.3">
      <c r="E316">
        <f t="shared" ca="1" si="29"/>
        <v>19</v>
      </c>
      <c r="F316">
        <f t="shared" ca="1" si="29"/>
        <v>12</v>
      </c>
      <c r="G316" t="b">
        <f t="shared" ca="1" si="25"/>
        <v>0</v>
      </c>
      <c r="H316" t="b">
        <f t="shared" ca="1" si="26"/>
        <v>1</v>
      </c>
      <c r="I316" t="b">
        <f t="shared" ca="1" si="27"/>
        <v>1</v>
      </c>
      <c r="J316">
        <f t="shared" ca="1" si="28"/>
        <v>20</v>
      </c>
    </row>
    <row r="317" spans="5:10" x14ac:dyDescent="0.3">
      <c r="E317">
        <f t="shared" ca="1" si="29"/>
        <v>18</v>
      </c>
      <c r="F317">
        <f t="shared" ca="1" si="29"/>
        <v>5</v>
      </c>
      <c r="G317" t="b">
        <f t="shared" ref="G317:G380" ca="1" si="30">IF(INDEX($B$22:$B$61,MATCH(E317,$A$22:$A$61,0))=INDEX($B$22:$B$61,MATCH(F317,$A$22:$A$61,0)),FALSE,TRUE)</f>
        <v>0</v>
      </c>
      <c r="H317" t="b">
        <f t="shared" ref="H317:H380" ca="1" si="31">IF(INDEX($C$22:$C$61,MATCH(E317,$A$22:$A$61,0))=INDEX($C$22:$C$61,MATCH(F317,$A$22:$A$61,0)),FALSE,TRUE)</f>
        <v>1</v>
      </c>
      <c r="I317" t="b">
        <f t="shared" ref="I317:I380" ca="1" si="32">IF(INDEX($D$22:$D$61,MATCH(E317,$A$22:$A$61,0))=INDEX($D$22:$D$61,MATCH(F317,$A$22:$A$61,0)),FALSE,TRUE)</f>
        <v>1</v>
      </c>
      <c r="J317">
        <f t="shared" ref="J317:J380" ca="1" si="33">MAX(G317*$D$7,H317*$D$8,I317*$D$9)</f>
        <v>20</v>
      </c>
    </row>
    <row r="318" spans="5:10" x14ac:dyDescent="0.3">
      <c r="E318">
        <f t="shared" ca="1" si="29"/>
        <v>36</v>
      </c>
      <c r="F318">
        <f t="shared" ca="1" si="29"/>
        <v>39</v>
      </c>
      <c r="G318" t="b">
        <f t="shared" ca="1" si="30"/>
        <v>0</v>
      </c>
      <c r="H318" t="b">
        <f t="shared" ca="1" si="31"/>
        <v>1</v>
      </c>
      <c r="I318" t="b">
        <f t="shared" ca="1" si="32"/>
        <v>1</v>
      </c>
      <c r="J318">
        <f t="shared" ca="1" si="33"/>
        <v>20</v>
      </c>
    </row>
    <row r="319" spans="5:10" x14ac:dyDescent="0.3">
      <c r="E319">
        <f t="shared" ref="E319:F382" ca="1" si="34">ROUNDUP(40*RAND(),0)</f>
        <v>25</v>
      </c>
      <c r="F319">
        <f t="shared" ca="1" si="34"/>
        <v>3</v>
      </c>
      <c r="G319" t="b">
        <f t="shared" ca="1" si="30"/>
        <v>1</v>
      </c>
      <c r="H319" t="b">
        <f t="shared" ca="1" si="31"/>
        <v>1</v>
      </c>
      <c r="I319" t="b">
        <f t="shared" ca="1" si="32"/>
        <v>1</v>
      </c>
      <c r="J319">
        <f t="shared" ca="1" si="33"/>
        <v>20</v>
      </c>
    </row>
    <row r="320" spans="5:10" x14ac:dyDescent="0.3">
      <c r="E320">
        <f t="shared" ca="1" si="34"/>
        <v>22</v>
      </c>
      <c r="F320">
        <f t="shared" ca="1" si="34"/>
        <v>20</v>
      </c>
      <c r="G320" t="b">
        <f t="shared" ca="1" si="30"/>
        <v>1</v>
      </c>
      <c r="H320" t="b">
        <f t="shared" ca="1" si="31"/>
        <v>1</v>
      </c>
      <c r="I320" t="b">
        <f t="shared" ca="1" si="32"/>
        <v>1</v>
      </c>
      <c r="J320">
        <f t="shared" ca="1" si="33"/>
        <v>20</v>
      </c>
    </row>
    <row r="321" spans="5:10" x14ac:dyDescent="0.3">
      <c r="E321">
        <f t="shared" ca="1" si="34"/>
        <v>24</v>
      </c>
      <c r="F321">
        <f t="shared" ca="1" si="34"/>
        <v>2</v>
      </c>
      <c r="G321" t="b">
        <f t="shared" ca="1" si="30"/>
        <v>1</v>
      </c>
      <c r="H321" t="b">
        <f t="shared" ca="1" si="31"/>
        <v>0</v>
      </c>
      <c r="I321" t="b">
        <f t="shared" ca="1" si="32"/>
        <v>1</v>
      </c>
      <c r="J321">
        <f t="shared" ca="1" si="33"/>
        <v>20</v>
      </c>
    </row>
    <row r="322" spans="5:10" x14ac:dyDescent="0.3">
      <c r="E322">
        <f t="shared" ca="1" si="34"/>
        <v>21</v>
      </c>
      <c r="F322">
        <f t="shared" ca="1" si="34"/>
        <v>10</v>
      </c>
      <c r="G322" t="b">
        <f t="shared" ca="1" si="30"/>
        <v>1</v>
      </c>
      <c r="H322" t="b">
        <f t="shared" ca="1" si="31"/>
        <v>1</v>
      </c>
      <c r="I322" t="b">
        <f t="shared" ca="1" si="32"/>
        <v>1</v>
      </c>
      <c r="J322">
        <f t="shared" ca="1" si="33"/>
        <v>20</v>
      </c>
    </row>
    <row r="323" spans="5:10" x14ac:dyDescent="0.3">
      <c r="E323">
        <f t="shared" ca="1" si="34"/>
        <v>15</v>
      </c>
      <c r="F323">
        <f t="shared" ca="1" si="34"/>
        <v>12</v>
      </c>
      <c r="G323" t="b">
        <f t="shared" ca="1" si="30"/>
        <v>0</v>
      </c>
      <c r="H323" t="b">
        <f t="shared" ca="1" si="31"/>
        <v>1</v>
      </c>
      <c r="I323" t="b">
        <f t="shared" ca="1" si="32"/>
        <v>1</v>
      </c>
      <c r="J323">
        <f t="shared" ca="1" si="33"/>
        <v>20</v>
      </c>
    </row>
    <row r="324" spans="5:10" x14ac:dyDescent="0.3">
      <c r="E324">
        <f t="shared" ca="1" si="34"/>
        <v>28</v>
      </c>
      <c r="F324">
        <f t="shared" ca="1" si="34"/>
        <v>3</v>
      </c>
      <c r="G324" t="b">
        <f t="shared" ca="1" si="30"/>
        <v>1</v>
      </c>
      <c r="H324" t="b">
        <f t="shared" ca="1" si="31"/>
        <v>1</v>
      </c>
      <c r="I324" t="b">
        <f t="shared" ca="1" si="32"/>
        <v>1</v>
      </c>
      <c r="J324">
        <f t="shared" ca="1" si="33"/>
        <v>20</v>
      </c>
    </row>
    <row r="325" spans="5:10" x14ac:dyDescent="0.3">
      <c r="E325">
        <f t="shared" ca="1" si="34"/>
        <v>13</v>
      </c>
      <c r="F325">
        <f t="shared" ca="1" si="34"/>
        <v>19</v>
      </c>
      <c r="G325" t="b">
        <f t="shared" ca="1" si="30"/>
        <v>0</v>
      </c>
      <c r="H325" t="b">
        <f t="shared" ca="1" si="31"/>
        <v>1</v>
      </c>
      <c r="I325" t="b">
        <f t="shared" ca="1" si="32"/>
        <v>1</v>
      </c>
      <c r="J325">
        <f t="shared" ca="1" si="33"/>
        <v>20</v>
      </c>
    </row>
    <row r="326" spans="5:10" x14ac:dyDescent="0.3">
      <c r="E326">
        <f t="shared" ca="1" si="34"/>
        <v>25</v>
      </c>
      <c r="F326">
        <f t="shared" ca="1" si="34"/>
        <v>18</v>
      </c>
      <c r="G326" t="b">
        <f t="shared" ca="1" si="30"/>
        <v>1</v>
      </c>
      <c r="H326" t="b">
        <f t="shared" ca="1" si="31"/>
        <v>1</v>
      </c>
      <c r="I326" t="b">
        <f t="shared" ca="1" si="32"/>
        <v>1</v>
      </c>
      <c r="J326">
        <f t="shared" ca="1" si="33"/>
        <v>20</v>
      </c>
    </row>
    <row r="327" spans="5:10" x14ac:dyDescent="0.3">
      <c r="E327">
        <f t="shared" ca="1" si="34"/>
        <v>39</v>
      </c>
      <c r="F327">
        <f t="shared" ca="1" si="34"/>
        <v>20</v>
      </c>
      <c r="G327" t="b">
        <f t="shared" ca="1" si="30"/>
        <v>1</v>
      </c>
      <c r="H327" t="b">
        <f t="shared" ca="1" si="31"/>
        <v>0</v>
      </c>
      <c r="I327" t="b">
        <f t="shared" ca="1" si="32"/>
        <v>1</v>
      </c>
      <c r="J327">
        <f t="shared" ca="1" si="33"/>
        <v>20</v>
      </c>
    </row>
    <row r="328" spans="5:10" x14ac:dyDescent="0.3">
      <c r="E328">
        <f t="shared" ca="1" si="34"/>
        <v>2</v>
      </c>
      <c r="F328">
        <f t="shared" ca="1" si="34"/>
        <v>5</v>
      </c>
      <c r="G328" t="b">
        <f t="shared" ca="1" si="30"/>
        <v>0</v>
      </c>
      <c r="H328" t="b">
        <f t="shared" ca="1" si="31"/>
        <v>1</v>
      </c>
      <c r="I328" t="b">
        <f t="shared" ca="1" si="32"/>
        <v>1</v>
      </c>
      <c r="J328">
        <f t="shared" ca="1" si="33"/>
        <v>20</v>
      </c>
    </row>
    <row r="329" spans="5:10" x14ac:dyDescent="0.3">
      <c r="E329">
        <f t="shared" ca="1" si="34"/>
        <v>5</v>
      </c>
      <c r="F329">
        <f t="shared" ca="1" si="34"/>
        <v>19</v>
      </c>
      <c r="G329" t="b">
        <f t="shared" ca="1" si="30"/>
        <v>0</v>
      </c>
      <c r="H329" t="b">
        <f t="shared" ca="1" si="31"/>
        <v>1</v>
      </c>
      <c r="I329" t="b">
        <f t="shared" ca="1" si="32"/>
        <v>1</v>
      </c>
      <c r="J329">
        <f t="shared" ca="1" si="33"/>
        <v>20</v>
      </c>
    </row>
    <row r="330" spans="5:10" x14ac:dyDescent="0.3">
      <c r="E330">
        <f t="shared" ca="1" si="34"/>
        <v>34</v>
      </c>
      <c r="F330">
        <f t="shared" ca="1" si="34"/>
        <v>7</v>
      </c>
      <c r="G330" t="b">
        <f t="shared" ca="1" si="30"/>
        <v>1</v>
      </c>
      <c r="H330" t="b">
        <f t="shared" ca="1" si="31"/>
        <v>1</v>
      </c>
      <c r="I330" t="b">
        <f t="shared" ca="1" si="32"/>
        <v>1</v>
      </c>
      <c r="J330">
        <f t="shared" ca="1" si="33"/>
        <v>20</v>
      </c>
    </row>
    <row r="331" spans="5:10" x14ac:dyDescent="0.3">
      <c r="E331">
        <f t="shared" ca="1" si="34"/>
        <v>35</v>
      </c>
      <c r="F331">
        <f t="shared" ca="1" si="34"/>
        <v>2</v>
      </c>
      <c r="G331" t="b">
        <f t="shared" ca="1" si="30"/>
        <v>1</v>
      </c>
      <c r="H331" t="b">
        <f t="shared" ca="1" si="31"/>
        <v>1</v>
      </c>
      <c r="I331" t="b">
        <f t="shared" ca="1" si="32"/>
        <v>1</v>
      </c>
      <c r="J331">
        <f t="shared" ca="1" si="33"/>
        <v>20</v>
      </c>
    </row>
    <row r="332" spans="5:10" x14ac:dyDescent="0.3">
      <c r="E332">
        <f t="shared" ca="1" si="34"/>
        <v>27</v>
      </c>
      <c r="F332">
        <f t="shared" ca="1" si="34"/>
        <v>10</v>
      </c>
      <c r="G332" t="b">
        <f t="shared" ca="1" si="30"/>
        <v>1</v>
      </c>
      <c r="H332" t="b">
        <f t="shared" ca="1" si="31"/>
        <v>1</v>
      </c>
      <c r="I332" t="b">
        <f t="shared" ca="1" si="32"/>
        <v>1</v>
      </c>
      <c r="J332">
        <f t="shared" ca="1" si="33"/>
        <v>20</v>
      </c>
    </row>
    <row r="333" spans="5:10" x14ac:dyDescent="0.3">
      <c r="E333">
        <f t="shared" ca="1" si="34"/>
        <v>36</v>
      </c>
      <c r="F333">
        <f t="shared" ca="1" si="34"/>
        <v>11</v>
      </c>
      <c r="G333" t="b">
        <f t="shared" ca="1" si="30"/>
        <v>1</v>
      </c>
      <c r="H333" t="b">
        <f t="shared" ca="1" si="31"/>
        <v>1</v>
      </c>
      <c r="I333" t="b">
        <f t="shared" ca="1" si="32"/>
        <v>1</v>
      </c>
      <c r="J333">
        <f t="shared" ca="1" si="33"/>
        <v>20</v>
      </c>
    </row>
    <row r="334" spans="5:10" x14ac:dyDescent="0.3">
      <c r="E334">
        <f t="shared" ca="1" si="34"/>
        <v>28</v>
      </c>
      <c r="F334">
        <f t="shared" ca="1" si="34"/>
        <v>24</v>
      </c>
      <c r="G334" t="b">
        <f t="shared" ca="1" si="30"/>
        <v>0</v>
      </c>
      <c r="H334" t="b">
        <f t="shared" ca="1" si="31"/>
        <v>1</v>
      </c>
      <c r="I334" t="b">
        <f t="shared" ca="1" si="32"/>
        <v>0</v>
      </c>
      <c r="J334">
        <f t="shared" ca="1" si="33"/>
        <v>20</v>
      </c>
    </row>
    <row r="335" spans="5:10" x14ac:dyDescent="0.3">
      <c r="E335">
        <f t="shared" ca="1" si="34"/>
        <v>39</v>
      </c>
      <c r="F335">
        <f t="shared" ca="1" si="34"/>
        <v>1</v>
      </c>
      <c r="G335" t="b">
        <f t="shared" ca="1" si="30"/>
        <v>1</v>
      </c>
      <c r="H335" t="b">
        <f t="shared" ca="1" si="31"/>
        <v>1</v>
      </c>
      <c r="I335" t="b">
        <f t="shared" ca="1" si="32"/>
        <v>1</v>
      </c>
      <c r="J335">
        <f t="shared" ca="1" si="33"/>
        <v>20</v>
      </c>
    </row>
    <row r="336" spans="5:10" x14ac:dyDescent="0.3">
      <c r="E336">
        <f t="shared" ca="1" si="34"/>
        <v>8</v>
      </c>
      <c r="F336">
        <f t="shared" ca="1" si="34"/>
        <v>23</v>
      </c>
      <c r="G336" t="b">
        <f t="shared" ca="1" si="30"/>
        <v>1</v>
      </c>
      <c r="H336" t="b">
        <f t="shared" ca="1" si="31"/>
        <v>1</v>
      </c>
      <c r="I336" t="b">
        <f t="shared" ca="1" si="32"/>
        <v>1</v>
      </c>
      <c r="J336">
        <f t="shared" ca="1" si="33"/>
        <v>20</v>
      </c>
    </row>
    <row r="337" spans="5:10" x14ac:dyDescent="0.3">
      <c r="E337">
        <f t="shared" ca="1" si="34"/>
        <v>40</v>
      </c>
      <c r="F337">
        <f t="shared" ca="1" si="34"/>
        <v>32</v>
      </c>
      <c r="G337" t="b">
        <f t="shared" ca="1" si="30"/>
        <v>0</v>
      </c>
      <c r="H337" t="b">
        <f t="shared" ca="1" si="31"/>
        <v>1</v>
      </c>
      <c r="I337" t="b">
        <f t="shared" ca="1" si="32"/>
        <v>0</v>
      </c>
      <c r="J337">
        <f t="shared" ca="1" si="33"/>
        <v>20</v>
      </c>
    </row>
    <row r="338" spans="5:10" x14ac:dyDescent="0.3">
      <c r="E338">
        <f t="shared" ca="1" si="34"/>
        <v>31</v>
      </c>
      <c r="F338">
        <f t="shared" ca="1" si="34"/>
        <v>1</v>
      </c>
      <c r="G338" t="b">
        <f t="shared" ca="1" si="30"/>
        <v>1</v>
      </c>
      <c r="H338" t="b">
        <f t="shared" ca="1" si="31"/>
        <v>1</v>
      </c>
      <c r="I338" t="b">
        <f t="shared" ca="1" si="32"/>
        <v>1</v>
      </c>
      <c r="J338">
        <f t="shared" ca="1" si="33"/>
        <v>20</v>
      </c>
    </row>
    <row r="339" spans="5:10" x14ac:dyDescent="0.3">
      <c r="E339">
        <f t="shared" ca="1" si="34"/>
        <v>16</v>
      </c>
      <c r="F339">
        <f t="shared" ca="1" si="34"/>
        <v>35</v>
      </c>
      <c r="G339" t="b">
        <f t="shared" ca="1" si="30"/>
        <v>1</v>
      </c>
      <c r="H339" t="b">
        <f t="shared" ca="1" si="31"/>
        <v>0</v>
      </c>
      <c r="I339" t="b">
        <f t="shared" ca="1" si="32"/>
        <v>1</v>
      </c>
      <c r="J339">
        <f t="shared" ca="1" si="33"/>
        <v>20</v>
      </c>
    </row>
    <row r="340" spans="5:10" x14ac:dyDescent="0.3">
      <c r="E340">
        <f t="shared" ca="1" si="34"/>
        <v>6</v>
      </c>
      <c r="F340">
        <f t="shared" ca="1" si="34"/>
        <v>23</v>
      </c>
      <c r="G340" t="b">
        <f t="shared" ca="1" si="30"/>
        <v>1</v>
      </c>
      <c r="H340" t="b">
        <f t="shared" ca="1" si="31"/>
        <v>1</v>
      </c>
      <c r="I340" t="b">
        <f t="shared" ca="1" si="32"/>
        <v>1</v>
      </c>
      <c r="J340">
        <f t="shared" ca="1" si="33"/>
        <v>20</v>
      </c>
    </row>
    <row r="341" spans="5:10" x14ac:dyDescent="0.3">
      <c r="E341">
        <f t="shared" ca="1" si="34"/>
        <v>18</v>
      </c>
      <c r="F341">
        <f t="shared" ca="1" si="34"/>
        <v>32</v>
      </c>
      <c r="G341" t="b">
        <f t="shared" ca="1" si="30"/>
        <v>1</v>
      </c>
      <c r="H341" t="b">
        <f t="shared" ca="1" si="31"/>
        <v>1</v>
      </c>
      <c r="I341" t="b">
        <f t="shared" ca="1" si="32"/>
        <v>1</v>
      </c>
      <c r="J341">
        <f t="shared" ca="1" si="33"/>
        <v>20</v>
      </c>
    </row>
    <row r="342" spans="5:10" x14ac:dyDescent="0.3">
      <c r="E342">
        <f t="shared" ca="1" si="34"/>
        <v>2</v>
      </c>
      <c r="F342">
        <f t="shared" ca="1" si="34"/>
        <v>28</v>
      </c>
      <c r="G342" t="b">
        <f t="shared" ca="1" si="30"/>
        <v>1</v>
      </c>
      <c r="H342" t="b">
        <f t="shared" ca="1" si="31"/>
        <v>1</v>
      </c>
      <c r="I342" t="b">
        <f t="shared" ca="1" si="32"/>
        <v>1</v>
      </c>
      <c r="J342">
        <f t="shared" ca="1" si="33"/>
        <v>20</v>
      </c>
    </row>
    <row r="343" spans="5:10" x14ac:dyDescent="0.3">
      <c r="E343">
        <f t="shared" ca="1" si="34"/>
        <v>20</v>
      </c>
      <c r="F343">
        <f t="shared" ca="1" si="34"/>
        <v>18</v>
      </c>
      <c r="G343" t="b">
        <f t="shared" ca="1" si="30"/>
        <v>0</v>
      </c>
      <c r="H343" t="b">
        <f t="shared" ca="1" si="31"/>
        <v>0</v>
      </c>
      <c r="I343" t="b">
        <f t="shared" ca="1" si="32"/>
        <v>1</v>
      </c>
      <c r="J343">
        <f t="shared" ca="1" si="33"/>
        <v>10</v>
      </c>
    </row>
    <row r="344" spans="5:10" x14ac:dyDescent="0.3">
      <c r="E344">
        <f t="shared" ca="1" si="34"/>
        <v>15</v>
      </c>
      <c r="F344">
        <f t="shared" ca="1" si="34"/>
        <v>2</v>
      </c>
      <c r="G344" t="b">
        <f t="shared" ca="1" si="30"/>
        <v>0</v>
      </c>
      <c r="H344" t="b">
        <f t="shared" ca="1" si="31"/>
        <v>1</v>
      </c>
      <c r="I344" t="b">
        <f t="shared" ca="1" si="32"/>
        <v>1</v>
      </c>
      <c r="J344">
        <f t="shared" ca="1" si="33"/>
        <v>20</v>
      </c>
    </row>
    <row r="345" spans="5:10" x14ac:dyDescent="0.3">
      <c r="E345">
        <f t="shared" ca="1" si="34"/>
        <v>5</v>
      </c>
      <c r="F345">
        <f t="shared" ca="1" si="34"/>
        <v>4</v>
      </c>
      <c r="G345" t="b">
        <f t="shared" ca="1" si="30"/>
        <v>0</v>
      </c>
      <c r="H345" t="b">
        <f t="shared" ca="1" si="31"/>
        <v>1</v>
      </c>
      <c r="I345" t="b">
        <f t="shared" ca="1" si="32"/>
        <v>1</v>
      </c>
      <c r="J345">
        <f t="shared" ca="1" si="33"/>
        <v>20</v>
      </c>
    </row>
    <row r="346" spans="5:10" x14ac:dyDescent="0.3">
      <c r="E346">
        <f t="shared" ca="1" si="34"/>
        <v>24</v>
      </c>
      <c r="F346">
        <f t="shared" ca="1" si="34"/>
        <v>10</v>
      </c>
      <c r="G346" t="b">
        <f t="shared" ca="1" si="30"/>
        <v>1</v>
      </c>
      <c r="H346" t="b">
        <f t="shared" ca="1" si="31"/>
        <v>1</v>
      </c>
      <c r="I346" t="b">
        <f t="shared" ca="1" si="32"/>
        <v>1</v>
      </c>
      <c r="J346">
        <f t="shared" ca="1" si="33"/>
        <v>20</v>
      </c>
    </row>
    <row r="347" spans="5:10" x14ac:dyDescent="0.3">
      <c r="E347">
        <f t="shared" ca="1" si="34"/>
        <v>35</v>
      </c>
      <c r="F347">
        <f t="shared" ca="1" si="34"/>
        <v>11</v>
      </c>
      <c r="G347" t="b">
        <f t="shared" ca="1" si="30"/>
        <v>1</v>
      </c>
      <c r="H347" t="b">
        <f t="shared" ca="1" si="31"/>
        <v>1</v>
      </c>
      <c r="I347" t="b">
        <f t="shared" ca="1" si="32"/>
        <v>0</v>
      </c>
      <c r="J347">
        <f t="shared" ca="1" si="33"/>
        <v>20</v>
      </c>
    </row>
    <row r="348" spans="5:10" x14ac:dyDescent="0.3">
      <c r="E348">
        <f t="shared" ca="1" si="34"/>
        <v>28</v>
      </c>
      <c r="F348">
        <f t="shared" ca="1" si="34"/>
        <v>27</v>
      </c>
      <c r="G348" t="b">
        <f t="shared" ca="1" si="30"/>
        <v>0</v>
      </c>
      <c r="H348" t="b">
        <f t="shared" ca="1" si="31"/>
        <v>0</v>
      </c>
      <c r="I348" t="b">
        <f t="shared" ca="1" si="32"/>
        <v>1</v>
      </c>
      <c r="J348">
        <f t="shared" ca="1" si="33"/>
        <v>10</v>
      </c>
    </row>
    <row r="349" spans="5:10" x14ac:dyDescent="0.3">
      <c r="E349">
        <f t="shared" ca="1" si="34"/>
        <v>13</v>
      </c>
      <c r="F349">
        <f t="shared" ca="1" si="34"/>
        <v>32</v>
      </c>
      <c r="G349" t="b">
        <f t="shared" ca="1" si="30"/>
        <v>1</v>
      </c>
      <c r="H349" t="b">
        <f t="shared" ca="1" si="31"/>
        <v>1</v>
      </c>
      <c r="I349" t="b">
        <f t="shared" ca="1" si="32"/>
        <v>1</v>
      </c>
      <c r="J349">
        <f t="shared" ca="1" si="33"/>
        <v>20</v>
      </c>
    </row>
    <row r="350" spans="5:10" x14ac:dyDescent="0.3">
      <c r="E350">
        <f t="shared" ca="1" si="34"/>
        <v>18</v>
      </c>
      <c r="F350">
        <f t="shared" ca="1" si="34"/>
        <v>31</v>
      </c>
      <c r="G350" t="b">
        <f t="shared" ca="1" si="30"/>
        <v>1</v>
      </c>
      <c r="H350" t="b">
        <f t="shared" ca="1" si="31"/>
        <v>1</v>
      </c>
      <c r="I350" t="b">
        <f t="shared" ca="1" si="32"/>
        <v>1</v>
      </c>
      <c r="J350">
        <f t="shared" ca="1" si="33"/>
        <v>20</v>
      </c>
    </row>
    <row r="351" spans="5:10" x14ac:dyDescent="0.3">
      <c r="E351">
        <f t="shared" ca="1" si="34"/>
        <v>40</v>
      </c>
      <c r="F351">
        <f t="shared" ca="1" si="34"/>
        <v>32</v>
      </c>
      <c r="G351" t="b">
        <f t="shared" ca="1" si="30"/>
        <v>0</v>
      </c>
      <c r="H351" t="b">
        <f t="shared" ca="1" si="31"/>
        <v>1</v>
      </c>
      <c r="I351" t="b">
        <f t="shared" ca="1" si="32"/>
        <v>0</v>
      </c>
      <c r="J351">
        <f t="shared" ca="1" si="33"/>
        <v>20</v>
      </c>
    </row>
    <row r="352" spans="5:10" x14ac:dyDescent="0.3">
      <c r="E352">
        <f t="shared" ca="1" si="34"/>
        <v>36</v>
      </c>
      <c r="F352">
        <f t="shared" ca="1" si="34"/>
        <v>36</v>
      </c>
      <c r="G352" t="b">
        <f t="shared" ca="1" si="30"/>
        <v>0</v>
      </c>
      <c r="H352" t="b">
        <f t="shared" ca="1" si="31"/>
        <v>0</v>
      </c>
      <c r="I352" t="b">
        <f t="shared" ca="1" si="32"/>
        <v>0</v>
      </c>
      <c r="J352">
        <f t="shared" ca="1" si="33"/>
        <v>0</v>
      </c>
    </row>
    <row r="353" spans="5:10" x14ac:dyDescent="0.3">
      <c r="E353">
        <f t="shared" ca="1" si="34"/>
        <v>13</v>
      </c>
      <c r="F353">
        <f t="shared" ca="1" si="34"/>
        <v>30</v>
      </c>
      <c r="G353" t="b">
        <f t="shared" ca="1" si="30"/>
        <v>1</v>
      </c>
      <c r="H353" t="b">
        <f t="shared" ca="1" si="31"/>
        <v>1</v>
      </c>
      <c r="I353" t="b">
        <f t="shared" ca="1" si="32"/>
        <v>1</v>
      </c>
      <c r="J353">
        <f t="shared" ca="1" si="33"/>
        <v>20</v>
      </c>
    </row>
    <row r="354" spans="5:10" x14ac:dyDescent="0.3">
      <c r="E354">
        <f t="shared" ca="1" si="34"/>
        <v>7</v>
      </c>
      <c r="F354">
        <f t="shared" ca="1" si="34"/>
        <v>18</v>
      </c>
      <c r="G354" t="b">
        <f t="shared" ca="1" si="30"/>
        <v>0</v>
      </c>
      <c r="H354" t="b">
        <f t="shared" ca="1" si="31"/>
        <v>1</v>
      </c>
      <c r="I354" t="b">
        <f t="shared" ca="1" si="32"/>
        <v>1</v>
      </c>
      <c r="J354">
        <f t="shared" ca="1" si="33"/>
        <v>20</v>
      </c>
    </row>
    <row r="355" spans="5:10" x14ac:dyDescent="0.3">
      <c r="E355">
        <f t="shared" ca="1" si="34"/>
        <v>28</v>
      </c>
      <c r="F355">
        <f t="shared" ca="1" si="34"/>
        <v>7</v>
      </c>
      <c r="G355" t="b">
        <f t="shared" ca="1" si="30"/>
        <v>1</v>
      </c>
      <c r="H355" t="b">
        <f t="shared" ca="1" si="31"/>
        <v>0</v>
      </c>
      <c r="I355" t="b">
        <f t="shared" ca="1" si="32"/>
        <v>1</v>
      </c>
      <c r="J355">
        <f t="shared" ca="1" si="33"/>
        <v>20</v>
      </c>
    </row>
    <row r="356" spans="5:10" x14ac:dyDescent="0.3">
      <c r="E356">
        <f t="shared" ca="1" si="34"/>
        <v>25</v>
      </c>
      <c r="F356">
        <f t="shared" ca="1" si="34"/>
        <v>34</v>
      </c>
      <c r="G356" t="b">
        <f t="shared" ca="1" si="30"/>
        <v>0</v>
      </c>
      <c r="H356" t="b">
        <f t="shared" ca="1" si="31"/>
        <v>1</v>
      </c>
      <c r="I356" t="b">
        <f t="shared" ca="1" si="32"/>
        <v>1</v>
      </c>
      <c r="J356">
        <f t="shared" ca="1" si="33"/>
        <v>20</v>
      </c>
    </row>
    <row r="357" spans="5:10" x14ac:dyDescent="0.3">
      <c r="E357">
        <f t="shared" ca="1" si="34"/>
        <v>36</v>
      </c>
      <c r="F357">
        <f t="shared" ca="1" si="34"/>
        <v>36</v>
      </c>
      <c r="G357" t="b">
        <f t="shared" ca="1" si="30"/>
        <v>0</v>
      </c>
      <c r="H357" t="b">
        <f t="shared" ca="1" si="31"/>
        <v>0</v>
      </c>
      <c r="I357" t="b">
        <f t="shared" ca="1" si="32"/>
        <v>0</v>
      </c>
      <c r="J357">
        <f t="shared" ca="1" si="33"/>
        <v>0</v>
      </c>
    </row>
    <row r="358" spans="5:10" x14ac:dyDescent="0.3">
      <c r="E358">
        <f t="shared" ca="1" si="34"/>
        <v>14</v>
      </c>
      <c r="F358">
        <f t="shared" ca="1" si="34"/>
        <v>30</v>
      </c>
      <c r="G358" t="b">
        <f t="shared" ca="1" si="30"/>
        <v>1</v>
      </c>
      <c r="H358" t="b">
        <f t="shared" ca="1" si="31"/>
        <v>1</v>
      </c>
      <c r="I358" t="b">
        <f t="shared" ca="1" si="32"/>
        <v>0</v>
      </c>
      <c r="J358">
        <f t="shared" ca="1" si="33"/>
        <v>20</v>
      </c>
    </row>
    <row r="359" spans="5:10" x14ac:dyDescent="0.3">
      <c r="E359">
        <f t="shared" ca="1" si="34"/>
        <v>35</v>
      </c>
      <c r="F359">
        <f t="shared" ca="1" si="34"/>
        <v>9</v>
      </c>
      <c r="G359" t="b">
        <f t="shared" ca="1" si="30"/>
        <v>1</v>
      </c>
      <c r="H359" t="b">
        <f t="shared" ca="1" si="31"/>
        <v>1</v>
      </c>
      <c r="I359" t="b">
        <f t="shared" ca="1" si="32"/>
        <v>1</v>
      </c>
      <c r="J359">
        <f t="shared" ca="1" si="33"/>
        <v>20</v>
      </c>
    </row>
    <row r="360" spans="5:10" x14ac:dyDescent="0.3">
      <c r="E360">
        <f t="shared" ca="1" si="34"/>
        <v>12</v>
      </c>
      <c r="F360">
        <f t="shared" ca="1" si="34"/>
        <v>27</v>
      </c>
      <c r="G360" t="b">
        <f t="shared" ca="1" si="30"/>
        <v>1</v>
      </c>
      <c r="H360" t="b">
        <f t="shared" ca="1" si="31"/>
        <v>1</v>
      </c>
      <c r="I360" t="b">
        <f t="shared" ca="1" si="32"/>
        <v>1</v>
      </c>
      <c r="J360">
        <f t="shared" ca="1" si="33"/>
        <v>20</v>
      </c>
    </row>
    <row r="361" spans="5:10" x14ac:dyDescent="0.3">
      <c r="E361">
        <f t="shared" ca="1" si="34"/>
        <v>16</v>
      </c>
      <c r="F361">
        <f t="shared" ca="1" si="34"/>
        <v>20</v>
      </c>
      <c r="G361" t="b">
        <f t="shared" ca="1" si="30"/>
        <v>0</v>
      </c>
      <c r="H361" t="b">
        <f t="shared" ca="1" si="31"/>
        <v>1</v>
      </c>
      <c r="I361" t="b">
        <f t="shared" ca="1" si="32"/>
        <v>0</v>
      </c>
      <c r="J361">
        <f t="shared" ca="1" si="33"/>
        <v>20</v>
      </c>
    </row>
    <row r="362" spans="5:10" x14ac:dyDescent="0.3">
      <c r="E362">
        <f t="shared" ca="1" si="34"/>
        <v>31</v>
      </c>
      <c r="F362">
        <f t="shared" ca="1" si="34"/>
        <v>9</v>
      </c>
      <c r="G362" t="b">
        <f t="shared" ca="1" si="30"/>
        <v>1</v>
      </c>
      <c r="H362" t="b">
        <f t="shared" ca="1" si="31"/>
        <v>0</v>
      </c>
      <c r="I362" t="b">
        <f t="shared" ca="1" si="32"/>
        <v>1</v>
      </c>
      <c r="J362">
        <f t="shared" ca="1" si="33"/>
        <v>20</v>
      </c>
    </row>
    <row r="363" spans="5:10" x14ac:dyDescent="0.3">
      <c r="E363">
        <f t="shared" ca="1" si="34"/>
        <v>38</v>
      </c>
      <c r="F363">
        <f t="shared" ca="1" si="34"/>
        <v>33</v>
      </c>
      <c r="G363" t="b">
        <f t="shared" ca="1" si="30"/>
        <v>0</v>
      </c>
      <c r="H363" t="b">
        <f t="shared" ca="1" si="31"/>
        <v>1</v>
      </c>
      <c r="I363" t="b">
        <f t="shared" ca="1" si="32"/>
        <v>1</v>
      </c>
      <c r="J363">
        <f t="shared" ca="1" si="33"/>
        <v>20</v>
      </c>
    </row>
    <row r="364" spans="5:10" x14ac:dyDescent="0.3">
      <c r="E364">
        <f t="shared" ca="1" si="34"/>
        <v>19</v>
      </c>
      <c r="F364">
        <f t="shared" ca="1" si="34"/>
        <v>6</v>
      </c>
      <c r="G364" t="b">
        <f t="shared" ca="1" si="30"/>
        <v>0</v>
      </c>
      <c r="H364" t="b">
        <f t="shared" ca="1" si="31"/>
        <v>1</v>
      </c>
      <c r="I364" t="b">
        <f t="shared" ca="1" si="32"/>
        <v>1</v>
      </c>
      <c r="J364">
        <f t="shared" ca="1" si="33"/>
        <v>20</v>
      </c>
    </row>
    <row r="365" spans="5:10" x14ac:dyDescent="0.3">
      <c r="E365">
        <f t="shared" ca="1" si="34"/>
        <v>29</v>
      </c>
      <c r="F365">
        <f t="shared" ca="1" si="34"/>
        <v>31</v>
      </c>
      <c r="G365" t="b">
        <f t="shared" ca="1" si="30"/>
        <v>0</v>
      </c>
      <c r="H365" t="b">
        <f t="shared" ca="1" si="31"/>
        <v>0</v>
      </c>
      <c r="I365" t="b">
        <f t="shared" ca="1" si="32"/>
        <v>1</v>
      </c>
      <c r="J365">
        <f t="shared" ca="1" si="33"/>
        <v>10</v>
      </c>
    </row>
    <row r="366" spans="5:10" x14ac:dyDescent="0.3">
      <c r="E366">
        <f t="shared" ca="1" si="34"/>
        <v>11</v>
      </c>
      <c r="F366">
        <f t="shared" ca="1" si="34"/>
        <v>36</v>
      </c>
      <c r="G366" t="b">
        <f t="shared" ca="1" si="30"/>
        <v>1</v>
      </c>
      <c r="H366" t="b">
        <f t="shared" ca="1" si="31"/>
        <v>1</v>
      </c>
      <c r="I366" t="b">
        <f t="shared" ca="1" si="32"/>
        <v>1</v>
      </c>
      <c r="J366">
        <f t="shared" ca="1" si="33"/>
        <v>20</v>
      </c>
    </row>
    <row r="367" spans="5:10" x14ac:dyDescent="0.3">
      <c r="E367">
        <f t="shared" ca="1" si="34"/>
        <v>40</v>
      </c>
      <c r="F367">
        <f t="shared" ca="1" si="34"/>
        <v>12</v>
      </c>
      <c r="G367" t="b">
        <f t="shared" ca="1" si="30"/>
        <v>1</v>
      </c>
      <c r="H367" t="b">
        <f t="shared" ca="1" si="31"/>
        <v>1</v>
      </c>
      <c r="I367" t="b">
        <f t="shared" ca="1" si="32"/>
        <v>0</v>
      </c>
      <c r="J367">
        <f t="shared" ca="1" si="33"/>
        <v>20</v>
      </c>
    </row>
    <row r="368" spans="5:10" x14ac:dyDescent="0.3">
      <c r="E368">
        <f t="shared" ca="1" si="34"/>
        <v>17</v>
      </c>
      <c r="F368">
        <f t="shared" ca="1" si="34"/>
        <v>29</v>
      </c>
      <c r="G368" t="b">
        <f t="shared" ca="1" si="30"/>
        <v>1</v>
      </c>
      <c r="H368" t="b">
        <f t="shared" ca="1" si="31"/>
        <v>1</v>
      </c>
      <c r="I368" t="b">
        <f t="shared" ca="1" si="32"/>
        <v>0</v>
      </c>
      <c r="J368">
        <f t="shared" ca="1" si="33"/>
        <v>20</v>
      </c>
    </row>
    <row r="369" spans="5:10" x14ac:dyDescent="0.3">
      <c r="E369">
        <f t="shared" ca="1" si="34"/>
        <v>13</v>
      </c>
      <c r="F369">
        <f t="shared" ca="1" si="34"/>
        <v>24</v>
      </c>
      <c r="G369" t="b">
        <f t="shared" ca="1" si="30"/>
        <v>1</v>
      </c>
      <c r="H369" t="b">
        <f t="shared" ca="1" si="31"/>
        <v>1</v>
      </c>
      <c r="I369" t="b">
        <f t="shared" ca="1" si="32"/>
        <v>1</v>
      </c>
      <c r="J369">
        <f t="shared" ca="1" si="33"/>
        <v>20</v>
      </c>
    </row>
    <row r="370" spans="5:10" x14ac:dyDescent="0.3">
      <c r="E370">
        <f t="shared" ca="1" si="34"/>
        <v>28</v>
      </c>
      <c r="F370">
        <f t="shared" ca="1" si="34"/>
        <v>1</v>
      </c>
      <c r="G370" t="b">
        <f t="shared" ca="1" si="30"/>
        <v>1</v>
      </c>
      <c r="H370" t="b">
        <f t="shared" ca="1" si="31"/>
        <v>1</v>
      </c>
      <c r="I370" t="b">
        <f t="shared" ca="1" si="32"/>
        <v>1</v>
      </c>
      <c r="J370">
        <f t="shared" ca="1" si="33"/>
        <v>20</v>
      </c>
    </row>
    <row r="371" spans="5:10" x14ac:dyDescent="0.3">
      <c r="E371">
        <f t="shared" ca="1" si="34"/>
        <v>12</v>
      </c>
      <c r="F371">
        <f t="shared" ca="1" si="34"/>
        <v>8</v>
      </c>
      <c r="G371" t="b">
        <f t="shared" ca="1" si="30"/>
        <v>0</v>
      </c>
      <c r="H371" t="b">
        <f t="shared" ca="1" si="31"/>
        <v>1</v>
      </c>
      <c r="I371" t="b">
        <f t="shared" ca="1" si="32"/>
        <v>0</v>
      </c>
      <c r="J371">
        <f t="shared" ca="1" si="33"/>
        <v>20</v>
      </c>
    </row>
    <row r="372" spans="5:10" x14ac:dyDescent="0.3">
      <c r="E372">
        <f t="shared" ca="1" si="34"/>
        <v>22</v>
      </c>
      <c r="F372">
        <f t="shared" ca="1" si="34"/>
        <v>40</v>
      </c>
      <c r="G372" t="b">
        <f t="shared" ca="1" si="30"/>
        <v>0</v>
      </c>
      <c r="H372" t="b">
        <f t="shared" ca="1" si="31"/>
        <v>1</v>
      </c>
      <c r="I372" t="b">
        <f t="shared" ca="1" si="32"/>
        <v>1</v>
      </c>
      <c r="J372">
        <f t="shared" ca="1" si="33"/>
        <v>20</v>
      </c>
    </row>
    <row r="373" spans="5:10" x14ac:dyDescent="0.3">
      <c r="E373">
        <f t="shared" ca="1" si="34"/>
        <v>39</v>
      </c>
      <c r="F373">
        <f t="shared" ca="1" si="34"/>
        <v>35</v>
      </c>
      <c r="G373" t="b">
        <f t="shared" ca="1" si="30"/>
        <v>0</v>
      </c>
      <c r="H373" t="b">
        <f t="shared" ca="1" si="31"/>
        <v>1</v>
      </c>
      <c r="I373" t="b">
        <f t="shared" ca="1" si="32"/>
        <v>0</v>
      </c>
      <c r="J373">
        <f t="shared" ca="1" si="33"/>
        <v>20</v>
      </c>
    </row>
    <row r="374" spans="5:10" x14ac:dyDescent="0.3">
      <c r="E374">
        <f t="shared" ca="1" si="34"/>
        <v>26</v>
      </c>
      <c r="F374">
        <f t="shared" ca="1" si="34"/>
        <v>23</v>
      </c>
      <c r="G374" t="b">
        <f t="shared" ca="1" si="30"/>
        <v>0</v>
      </c>
      <c r="H374" t="b">
        <f t="shared" ca="1" si="31"/>
        <v>1</v>
      </c>
      <c r="I374" t="b">
        <f t="shared" ca="1" si="32"/>
        <v>1</v>
      </c>
      <c r="J374">
        <f t="shared" ca="1" si="33"/>
        <v>20</v>
      </c>
    </row>
    <row r="375" spans="5:10" x14ac:dyDescent="0.3">
      <c r="E375">
        <f t="shared" ca="1" si="34"/>
        <v>39</v>
      </c>
      <c r="F375">
        <f t="shared" ca="1" si="34"/>
        <v>37</v>
      </c>
      <c r="G375" t="b">
        <f t="shared" ca="1" si="30"/>
        <v>0</v>
      </c>
      <c r="H375" t="b">
        <f t="shared" ca="1" si="31"/>
        <v>0</v>
      </c>
      <c r="I375" t="b">
        <f t="shared" ca="1" si="32"/>
        <v>1</v>
      </c>
      <c r="J375">
        <f t="shared" ca="1" si="33"/>
        <v>10</v>
      </c>
    </row>
    <row r="376" spans="5:10" x14ac:dyDescent="0.3">
      <c r="E376">
        <f t="shared" ca="1" si="34"/>
        <v>1</v>
      </c>
      <c r="F376">
        <f t="shared" ca="1" si="34"/>
        <v>12</v>
      </c>
      <c r="G376" t="b">
        <f t="shared" ca="1" si="30"/>
        <v>0</v>
      </c>
      <c r="H376" t="b">
        <f t="shared" ca="1" si="31"/>
        <v>1</v>
      </c>
      <c r="I376" t="b">
        <f t="shared" ca="1" si="32"/>
        <v>1</v>
      </c>
      <c r="J376">
        <f t="shared" ca="1" si="33"/>
        <v>20</v>
      </c>
    </row>
    <row r="377" spans="5:10" x14ac:dyDescent="0.3">
      <c r="E377">
        <f t="shared" ca="1" si="34"/>
        <v>16</v>
      </c>
      <c r="F377">
        <f t="shared" ca="1" si="34"/>
        <v>30</v>
      </c>
      <c r="G377" t="b">
        <f t="shared" ca="1" si="30"/>
        <v>1</v>
      </c>
      <c r="H377" t="b">
        <f t="shared" ca="1" si="31"/>
        <v>1</v>
      </c>
      <c r="I377" t="b">
        <f t="shared" ca="1" si="32"/>
        <v>1</v>
      </c>
      <c r="J377">
        <f t="shared" ca="1" si="33"/>
        <v>20</v>
      </c>
    </row>
    <row r="378" spans="5:10" x14ac:dyDescent="0.3">
      <c r="E378">
        <f t="shared" ca="1" si="34"/>
        <v>3</v>
      </c>
      <c r="F378">
        <f t="shared" ca="1" si="34"/>
        <v>10</v>
      </c>
      <c r="G378" t="b">
        <f t="shared" ca="1" si="30"/>
        <v>0</v>
      </c>
      <c r="H378" t="b">
        <f t="shared" ca="1" si="31"/>
        <v>1</v>
      </c>
      <c r="I378" t="b">
        <f t="shared" ca="1" si="32"/>
        <v>1</v>
      </c>
      <c r="J378">
        <f t="shared" ca="1" si="33"/>
        <v>20</v>
      </c>
    </row>
    <row r="379" spans="5:10" x14ac:dyDescent="0.3">
      <c r="E379">
        <f t="shared" ca="1" si="34"/>
        <v>18</v>
      </c>
      <c r="F379">
        <f t="shared" ca="1" si="34"/>
        <v>15</v>
      </c>
      <c r="G379" t="b">
        <f t="shared" ca="1" si="30"/>
        <v>0</v>
      </c>
      <c r="H379" t="b">
        <f t="shared" ca="1" si="31"/>
        <v>1</v>
      </c>
      <c r="I379" t="b">
        <f t="shared" ca="1" si="32"/>
        <v>1</v>
      </c>
      <c r="J379">
        <f t="shared" ca="1" si="33"/>
        <v>20</v>
      </c>
    </row>
    <row r="380" spans="5:10" x14ac:dyDescent="0.3">
      <c r="E380">
        <f t="shared" ca="1" si="34"/>
        <v>14</v>
      </c>
      <c r="F380">
        <f t="shared" ca="1" si="34"/>
        <v>18</v>
      </c>
      <c r="G380" t="b">
        <f t="shared" ca="1" si="30"/>
        <v>0</v>
      </c>
      <c r="H380" t="b">
        <f t="shared" ca="1" si="31"/>
        <v>1</v>
      </c>
      <c r="I380" t="b">
        <f t="shared" ca="1" si="32"/>
        <v>0</v>
      </c>
      <c r="J380">
        <f t="shared" ca="1" si="33"/>
        <v>20</v>
      </c>
    </row>
    <row r="381" spans="5:10" x14ac:dyDescent="0.3">
      <c r="E381">
        <f t="shared" ca="1" si="34"/>
        <v>7</v>
      </c>
      <c r="F381">
        <f t="shared" ca="1" si="34"/>
        <v>16</v>
      </c>
      <c r="G381" t="b">
        <f t="shared" ref="G381:G392" ca="1" si="35">IF(INDEX($B$22:$B$61,MATCH(E381,$A$22:$A$61,0))=INDEX($B$22:$B$61,MATCH(F381,$A$22:$A$61,0)),FALSE,TRUE)</f>
        <v>0</v>
      </c>
      <c r="H381" t="b">
        <f t="shared" ref="H381:H392" ca="1" si="36">IF(INDEX($C$22:$C$61,MATCH(E381,$A$22:$A$61,0))=INDEX($C$22:$C$61,MATCH(F381,$A$22:$A$61,0)),FALSE,TRUE)</f>
        <v>1</v>
      </c>
      <c r="I381" t="b">
        <f t="shared" ref="I381:I392" ca="1" si="37">IF(INDEX($D$22:$D$61,MATCH(E381,$A$22:$A$61,0))=INDEX($D$22:$D$61,MATCH(F381,$A$22:$A$61,0)),FALSE,TRUE)</f>
        <v>1</v>
      </c>
      <c r="J381">
        <f t="shared" ref="J381:J392" ca="1" si="38">MAX(G381*$D$7,H381*$D$8,I381*$D$9)</f>
        <v>20</v>
      </c>
    </row>
    <row r="382" spans="5:10" x14ac:dyDescent="0.3">
      <c r="E382">
        <f t="shared" ca="1" si="34"/>
        <v>2</v>
      </c>
      <c r="F382">
        <f t="shared" ca="1" si="34"/>
        <v>35</v>
      </c>
      <c r="G382" t="b">
        <f t="shared" ca="1" si="35"/>
        <v>1</v>
      </c>
      <c r="H382" t="b">
        <f t="shared" ca="1" si="36"/>
        <v>1</v>
      </c>
      <c r="I382" t="b">
        <f t="shared" ca="1" si="37"/>
        <v>1</v>
      </c>
      <c r="J382">
        <f t="shared" ca="1" si="38"/>
        <v>20</v>
      </c>
    </row>
    <row r="383" spans="5:10" x14ac:dyDescent="0.3">
      <c r="E383">
        <f t="shared" ref="E383:F393" ca="1" si="39">ROUNDUP(40*RAND(),0)</f>
        <v>2</v>
      </c>
      <c r="F383">
        <f t="shared" ca="1" si="39"/>
        <v>34</v>
      </c>
      <c r="G383" t="b">
        <f t="shared" ca="1" si="35"/>
        <v>1</v>
      </c>
      <c r="H383" t="b">
        <f t="shared" ca="1" si="36"/>
        <v>1</v>
      </c>
      <c r="I383" t="b">
        <f t="shared" ca="1" si="37"/>
        <v>0</v>
      </c>
      <c r="J383">
        <f t="shared" ca="1" si="38"/>
        <v>20</v>
      </c>
    </row>
    <row r="384" spans="5:10" x14ac:dyDescent="0.3">
      <c r="E384">
        <f t="shared" ca="1" si="39"/>
        <v>35</v>
      </c>
      <c r="F384">
        <f t="shared" ca="1" si="39"/>
        <v>37</v>
      </c>
      <c r="G384" t="b">
        <f t="shared" ca="1" si="35"/>
        <v>0</v>
      </c>
      <c r="H384" t="b">
        <f t="shared" ca="1" si="36"/>
        <v>1</v>
      </c>
      <c r="I384" t="b">
        <f t="shared" ca="1" si="37"/>
        <v>1</v>
      </c>
      <c r="J384">
        <f t="shared" ca="1" si="38"/>
        <v>20</v>
      </c>
    </row>
    <row r="385" spans="5:10" x14ac:dyDescent="0.3">
      <c r="E385">
        <f t="shared" ca="1" si="39"/>
        <v>6</v>
      </c>
      <c r="F385">
        <f t="shared" ca="1" si="39"/>
        <v>9</v>
      </c>
      <c r="G385" t="b">
        <f t="shared" ca="1" si="35"/>
        <v>0</v>
      </c>
      <c r="H385" t="b">
        <f t="shared" ca="1" si="36"/>
        <v>1</v>
      </c>
      <c r="I385" t="b">
        <f t="shared" ca="1" si="37"/>
        <v>1</v>
      </c>
      <c r="J385">
        <f t="shared" ca="1" si="38"/>
        <v>20</v>
      </c>
    </row>
    <row r="386" spans="5:10" x14ac:dyDescent="0.3">
      <c r="E386">
        <f t="shared" ca="1" si="39"/>
        <v>6</v>
      </c>
      <c r="F386">
        <f t="shared" ca="1" si="39"/>
        <v>19</v>
      </c>
      <c r="G386" t="b">
        <f t="shared" ca="1" si="35"/>
        <v>0</v>
      </c>
      <c r="H386" t="b">
        <f t="shared" ca="1" si="36"/>
        <v>1</v>
      </c>
      <c r="I386" t="b">
        <f t="shared" ca="1" si="37"/>
        <v>1</v>
      </c>
      <c r="J386">
        <f t="shared" ca="1" si="38"/>
        <v>20</v>
      </c>
    </row>
    <row r="387" spans="5:10" x14ac:dyDescent="0.3">
      <c r="E387">
        <f t="shared" ca="1" si="39"/>
        <v>4</v>
      </c>
      <c r="F387">
        <f t="shared" ca="1" si="39"/>
        <v>36</v>
      </c>
      <c r="G387" t="b">
        <f t="shared" ca="1" si="35"/>
        <v>1</v>
      </c>
      <c r="H387" t="b">
        <f t="shared" ca="1" si="36"/>
        <v>1</v>
      </c>
      <c r="I387" t="b">
        <f t="shared" ca="1" si="37"/>
        <v>0</v>
      </c>
      <c r="J387">
        <f t="shared" ca="1" si="38"/>
        <v>20</v>
      </c>
    </row>
    <row r="388" spans="5:10" x14ac:dyDescent="0.3">
      <c r="E388">
        <f t="shared" ca="1" si="39"/>
        <v>35</v>
      </c>
      <c r="F388">
        <f t="shared" ca="1" si="39"/>
        <v>37</v>
      </c>
      <c r="G388" t="b">
        <f t="shared" ca="1" si="35"/>
        <v>0</v>
      </c>
      <c r="H388" t="b">
        <f t="shared" ca="1" si="36"/>
        <v>1</v>
      </c>
      <c r="I388" t="b">
        <f t="shared" ca="1" si="37"/>
        <v>1</v>
      </c>
      <c r="J388">
        <f t="shared" ca="1" si="38"/>
        <v>20</v>
      </c>
    </row>
    <row r="389" spans="5:10" x14ac:dyDescent="0.3">
      <c r="E389">
        <f t="shared" ca="1" si="39"/>
        <v>34</v>
      </c>
      <c r="F389">
        <f t="shared" ca="1" si="39"/>
        <v>32</v>
      </c>
      <c r="G389" t="b">
        <f t="shared" ca="1" si="35"/>
        <v>0</v>
      </c>
      <c r="H389" t="b">
        <f t="shared" ca="1" si="36"/>
        <v>1</v>
      </c>
      <c r="I389" t="b">
        <f t="shared" ca="1" si="37"/>
        <v>1</v>
      </c>
      <c r="J389">
        <f t="shared" ca="1" si="38"/>
        <v>20</v>
      </c>
    </row>
    <row r="390" spans="5:10" x14ac:dyDescent="0.3">
      <c r="E390">
        <f t="shared" ca="1" si="39"/>
        <v>7</v>
      </c>
      <c r="F390">
        <f t="shared" ca="1" si="39"/>
        <v>27</v>
      </c>
      <c r="G390" t="b">
        <f t="shared" ca="1" si="35"/>
        <v>1</v>
      </c>
      <c r="H390" t="b">
        <f t="shared" ca="1" si="36"/>
        <v>0</v>
      </c>
      <c r="I390" t="b">
        <f t="shared" ca="1" si="37"/>
        <v>0</v>
      </c>
      <c r="J390">
        <f t="shared" ca="1" si="38"/>
        <v>20</v>
      </c>
    </row>
    <row r="391" spans="5:10" x14ac:dyDescent="0.3">
      <c r="E391">
        <f t="shared" ca="1" si="39"/>
        <v>12</v>
      </c>
      <c r="F391">
        <f t="shared" ca="1" si="39"/>
        <v>1</v>
      </c>
      <c r="G391" t="b">
        <f t="shared" ca="1" si="35"/>
        <v>0</v>
      </c>
      <c r="H391" t="b">
        <f t="shared" ca="1" si="36"/>
        <v>1</v>
      </c>
      <c r="I391" t="b">
        <f t="shared" ca="1" si="37"/>
        <v>1</v>
      </c>
      <c r="J391">
        <f t="shared" ca="1" si="38"/>
        <v>20</v>
      </c>
    </row>
    <row r="392" spans="5:10" x14ac:dyDescent="0.3">
      <c r="E392">
        <f t="shared" ca="1" si="39"/>
        <v>4</v>
      </c>
      <c r="F392">
        <f t="shared" ca="1" si="39"/>
        <v>19</v>
      </c>
      <c r="G392" t="b">
        <f t="shared" ca="1" si="35"/>
        <v>0</v>
      </c>
      <c r="H392" t="b">
        <f t="shared" ca="1" si="36"/>
        <v>1</v>
      </c>
      <c r="I392" t="b">
        <f t="shared" ca="1" si="37"/>
        <v>1</v>
      </c>
      <c r="J392">
        <f t="shared" ca="1" si="38"/>
        <v>20</v>
      </c>
    </row>
    <row r="393" spans="5:10" x14ac:dyDescent="0.3">
      <c r="E393">
        <f t="shared" ca="1" si="39"/>
        <v>14</v>
      </c>
      <c r="F393">
        <f t="shared" ca="1" si="39"/>
        <v>8</v>
      </c>
      <c r="G393" t="b">
        <f t="shared" ref="G393" ca="1" si="40">IF(INDEX($B$22:$B$61,MATCH(E393,$A$22:$A$61,0))=INDEX($B$22:$B$61,MATCH(F393,$A$22:$A$61,0)),FALSE,TRUE)</f>
        <v>0</v>
      </c>
      <c r="H393" t="b">
        <f t="shared" ref="H393" ca="1" si="41">IF(INDEX($C$22:$C$61,MATCH(E393,$A$22:$A$61,0))=INDEX($C$22:$C$61,MATCH(F393,$A$22:$A$61,0)),FALSE,TRUE)</f>
        <v>1</v>
      </c>
      <c r="I393" t="b">
        <f t="shared" ref="I393" ca="1" si="42">IF(INDEX($D$22:$D$61,MATCH(E393,$A$22:$A$61,0))=INDEX($D$22:$D$61,MATCH(F393,$A$22:$A$61,0)),FALSE,TRUE)</f>
        <v>1</v>
      </c>
      <c r="J393">
        <f t="shared" ref="J393" ca="1" si="43">MAX(G393*$D$7,H393*$D$8,I393*$D$9)</f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85800-1673-4716-8F3E-BB6A25ED8B10}">
  <dimension ref="A1:B128"/>
  <sheetViews>
    <sheetView tabSelected="1" workbookViewId="0">
      <selection activeCell="E9" sqref="E9"/>
    </sheetView>
  </sheetViews>
  <sheetFormatPr defaultColWidth="8.77734375" defaultRowHeight="14.4" x14ac:dyDescent="0.3"/>
  <cols>
    <col min="1" max="1" width="36" customWidth="1"/>
    <col min="2" max="2" width="10.77734375" customWidth="1"/>
  </cols>
  <sheetData>
    <row r="1" spans="1:2" s="30" customFormat="1" ht="18" x14ac:dyDescent="0.35">
      <c r="A1" s="30" t="s">
        <v>50</v>
      </c>
    </row>
    <row r="2" spans="1:2" s="30" customFormat="1" ht="18" x14ac:dyDescent="0.35">
      <c r="A2" s="44" t="s">
        <v>51</v>
      </c>
      <c r="B2" s="44"/>
    </row>
    <row r="3" spans="1:2" x14ac:dyDescent="0.3">
      <c r="A3" s="14"/>
      <c r="B3" s="16"/>
    </row>
    <row r="4" spans="1:2" x14ac:dyDescent="0.3">
      <c r="A4" s="33" t="s">
        <v>26</v>
      </c>
      <c r="B4" s="37" t="s">
        <v>82</v>
      </c>
    </row>
    <row r="5" spans="1:2" x14ac:dyDescent="0.3">
      <c r="A5" s="3" t="s">
        <v>2</v>
      </c>
      <c r="B5" s="4">
        <v>120000</v>
      </c>
    </row>
    <row r="6" spans="1:2" x14ac:dyDescent="0.3">
      <c r="A6" s="3" t="s">
        <v>22</v>
      </c>
      <c r="B6" s="5">
        <f t="shared" ref="B6" si="0">B5*tiles_per_case</f>
        <v>2880000</v>
      </c>
    </row>
    <row r="7" spans="1:2" x14ac:dyDescent="0.3">
      <c r="A7" s="3" t="s">
        <v>77</v>
      </c>
      <c r="B7" s="4">
        <v>5</v>
      </c>
    </row>
    <row r="8" spans="1:2" x14ac:dyDescent="0.3">
      <c r="A8" s="14" t="s">
        <v>30</v>
      </c>
      <c r="B8" s="41">
        <f t="shared" ref="B8" si="1">work_weeks*B7</f>
        <v>240</v>
      </c>
    </row>
    <row r="9" spans="1:2" x14ac:dyDescent="0.3">
      <c r="A9" s="14" t="s">
        <v>43</v>
      </c>
      <c r="B9" s="9">
        <f t="shared" ref="B9" si="2">B$5/B8</f>
        <v>500</v>
      </c>
    </row>
    <row r="10" spans="1:2" x14ac:dyDescent="0.3">
      <c r="A10" s="14" t="s">
        <v>84</v>
      </c>
      <c r="B10" s="7">
        <f>B9*gross_case_mass_kg /1000</f>
        <v>5</v>
      </c>
    </row>
    <row r="11" spans="1:2" x14ac:dyDescent="0.3">
      <c r="A11" s="14" t="s">
        <v>25</v>
      </c>
      <c r="B11" s="17">
        <f t="shared" ref="B11" si="3">ROUNDUP(B10/truck_ship_MT,0)</f>
        <v>2</v>
      </c>
    </row>
    <row r="12" spans="1:2" x14ac:dyDescent="0.3">
      <c r="A12" s="14"/>
      <c r="B12" s="17"/>
    </row>
    <row r="13" spans="1:2" x14ac:dyDescent="0.3">
      <c r="A13" s="32" t="s">
        <v>41</v>
      </c>
      <c r="B13" s="17"/>
    </row>
    <row r="14" spans="1:2" x14ac:dyDescent="0.3">
      <c r="A14" s="14" t="s">
        <v>79</v>
      </c>
      <c r="B14" s="22">
        <v>40</v>
      </c>
    </row>
    <row r="15" spans="1:2" x14ac:dyDescent="0.3">
      <c r="A15" s="14" t="s">
        <v>28</v>
      </c>
      <c r="B15" s="22">
        <v>5000</v>
      </c>
    </row>
    <row r="16" spans="1:2" x14ac:dyDescent="0.3">
      <c r="A16" s="14" t="s">
        <v>29</v>
      </c>
      <c r="B16" s="7">
        <f t="shared" ref="B16" si="4">B15/B9</f>
        <v>10</v>
      </c>
    </row>
    <row r="17" spans="1:2" x14ac:dyDescent="0.3">
      <c r="A17" s="14" t="s">
        <v>27</v>
      </c>
      <c r="B17" s="17">
        <f>B15/B14</f>
        <v>125</v>
      </c>
    </row>
    <row r="18" spans="1:2" x14ac:dyDescent="0.3">
      <c r="A18" s="14"/>
      <c r="B18" s="17"/>
    </row>
    <row r="19" spans="1:2" x14ac:dyDescent="0.3">
      <c r="A19" s="34" t="s">
        <v>39</v>
      </c>
      <c r="B19" s="37"/>
    </row>
    <row r="20" spans="1:2" x14ac:dyDescent="0.3">
      <c r="A20" s="14" t="s">
        <v>60</v>
      </c>
      <c r="B20" s="4">
        <v>5</v>
      </c>
    </row>
    <row r="21" spans="1:2" x14ac:dyDescent="0.3">
      <c r="A21" s="14" t="s">
        <v>30</v>
      </c>
      <c r="B21" s="41">
        <f t="shared" ref="B21" si="5">work_weeks*B20</f>
        <v>240</v>
      </c>
    </row>
    <row r="22" spans="1:2" x14ac:dyDescent="0.3">
      <c r="A22" s="14" t="s">
        <v>44</v>
      </c>
      <c r="B22" s="9">
        <f t="shared" ref="B22" si="6">B$5/B21</f>
        <v>500</v>
      </c>
    </row>
    <row r="23" spans="1:2" x14ac:dyDescent="0.3">
      <c r="A23" s="3" t="s">
        <v>18</v>
      </c>
      <c r="B23" s="4">
        <v>30</v>
      </c>
    </row>
    <row r="24" spans="1:2" x14ac:dyDescent="0.3">
      <c r="A24" s="3" t="s">
        <v>19</v>
      </c>
      <c r="B24" s="17">
        <f t="shared" ref="B24" si="7">MAX(0,avail_s_per_shift-B22*B23)</f>
        <v>13800</v>
      </c>
    </row>
    <row r="25" spans="1:2" x14ac:dyDescent="0.3">
      <c r="A25" s="3" t="s">
        <v>35</v>
      </c>
      <c r="B25" s="10">
        <v>5</v>
      </c>
    </row>
    <row r="26" spans="1:2" x14ac:dyDescent="0.3">
      <c r="A26" s="3" t="s">
        <v>81</v>
      </c>
      <c r="B26" s="17">
        <f>ROUNDDOWN(B24/(B25*60),0)</f>
        <v>46</v>
      </c>
    </row>
    <row r="27" spans="1:2" x14ac:dyDescent="0.3">
      <c r="A27" s="14" t="s">
        <v>58</v>
      </c>
      <c r="B27" s="21">
        <f>B14/B26</f>
        <v>0.86956521739130432</v>
      </c>
    </row>
    <row r="28" spans="1:2" x14ac:dyDescent="0.3">
      <c r="A28" s="14" t="s">
        <v>57</v>
      </c>
      <c r="B28" s="4">
        <v>10</v>
      </c>
    </row>
    <row r="29" spans="1:2" x14ac:dyDescent="0.3">
      <c r="A29" s="14" t="s">
        <v>32</v>
      </c>
      <c r="B29" s="23" t="str">
        <f t="shared" ref="B29" si="8">IF(B27&lt;=B28, "OK", "Problem!")</f>
        <v>OK</v>
      </c>
    </row>
    <row r="30" spans="1:2" x14ac:dyDescent="0.3">
      <c r="A30" s="14" t="s">
        <v>80</v>
      </c>
      <c r="B30" s="42">
        <f t="shared" ref="B30" si="9">(B22*B23+60*B25*B14/B28)/avail_s_per_shift</f>
        <v>0.5625</v>
      </c>
    </row>
    <row r="31" spans="1:2" x14ac:dyDescent="0.3">
      <c r="A31" s="14"/>
      <c r="B31" s="16"/>
    </row>
    <row r="32" spans="1:2" x14ac:dyDescent="0.3">
      <c r="A32" s="32" t="s">
        <v>40</v>
      </c>
      <c r="B32" s="17"/>
    </row>
    <row r="33" spans="1:2" x14ac:dyDescent="0.3">
      <c r="A33" s="14" t="s">
        <v>85</v>
      </c>
      <c r="B33" s="24">
        <v>12000</v>
      </c>
    </row>
    <row r="34" spans="1:2" x14ac:dyDescent="0.3">
      <c r="A34" s="14" t="s">
        <v>86</v>
      </c>
      <c r="B34" s="7">
        <f>2*B40</f>
        <v>10000</v>
      </c>
    </row>
    <row r="35" spans="1:2" x14ac:dyDescent="0.3">
      <c r="A35" s="14" t="s">
        <v>32</v>
      </c>
      <c r="B35" s="23" t="str">
        <f>IF(B33&gt;=B34, "OK", "Problem!")</f>
        <v>OK</v>
      </c>
    </row>
    <row r="36" spans="1:2" x14ac:dyDescent="0.3">
      <c r="A36" s="14"/>
      <c r="B36" s="17"/>
    </row>
    <row r="37" spans="1:2" ht="14.55" customHeight="1" x14ac:dyDescent="0.3">
      <c r="A37" s="35" t="s">
        <v>16</v>
      </c>
      <c r="B37" s="38" t="s">
        <v>74</v>
      </c>
    </row>
    <row r="38" spans="1:2" ht="14.55" customHeight="1" x14ac:dyDescent="0.3">
      <c r="A38" s="26" t="s">
        <v>38</v>
      </c>
      <c r="B38" s="6">
        <v>12</v>
      </c>
    </row>
    <row r="39" spans="1:2" ht="15" customHeight="1" x14ac:dyDescent="0.3">
      <c r="A39" s="18" t="s">
        <v>4</v>
      </c>
      <c r="B39" s="6">
        <f t="shared" ref="B39" si="10">work_weeks*B38</f>
        <v>576</v>
      </c>
    </row>
    <row r="40" spans="1:2" x14ac:dyDescent="0.3">
      <c r="A40" s="3" t="s">
        <v>5</v>
      </c>
      <c r="B40" s="17">
        <f t="shared" ref="B40" si="11">ROUNDUP(B6/B39,0)</f>
        <v>5000</v>
      </c>
    </row>
    <row r="41" spans="1:2" x14ac:dyDescent="0.3">
      <c r="A41" s="19" t="s">
        <v>3</v>
      </c>
      <c r="B41" s="8">
        <f t="shared" ref="B41" si="12">avail_s_per_shift/B40</f>
        <v>5.76</v>
      </c>
    </row>
    <row r="42" spans="1:2" x14ac:dyDescent="0.3">
      <c r="A42" s="14" t="s">
        <v>8</v>
      </c>
      <c r="B42" s="12">
        <v>5</v>
      </c>
    </row>
    <row r="43" spans="1:2" x14ac:dyDescent="0.3">
      <c r="A43" s="14" t="s">
        <v>12</v>
      </c>
      <c r="B43" s="12"/>
    </row>
    <row r="44" spans="1:2" x14ac:dyDescent="0.3">
      <c r="A44" s="27" t="s">
        <v>33</v>
      </c>
      <c r="B44" s="13">
        <v>1</v>
      </c>
    </row>
    <row r="45" spans="1:2" x14ac:dyDescent="0.3">
      <c r="A45" s="20" t="s">
        <v>11</v>
      </c>
      <c r="B45" s="13">
        <v>1</v>
      </c>
    </row>
    <row r="46" spans="1:2" x14ac:dyDescent="0.3">
      <c r="A46" s="20" t="s">
        <v>13</v>
      </c>
      <c r="B46" s="13">
        <v>0.95</v>
      </c>
    </row>
    <row r="47" spans="1:2" x14ac:dyDescent="0.3">
      <c r="A47" s="20" t="s">
        <v>14</v>
      </c>
      <c r="B47" s="13">
        <v>1</v>
      </c>
    </row>
    <row r="48" spans="1:2" x14ac:dyDescent="0.3">
      <c r="A48" s="20" t="s">
        <v>9</v>
      </c>
      <c r="B48" s="15">
        <f t="shared" ref="B48" si="13">PRODUCT(B44:B47)</f>
        <v>0.95</v>
      </c>
    </row>
    <row r="49" spans="1:2" x14ac:dyDescent="0.3">
      <c r="A49" s="20" t="s">
        <v>7</v>
      </c>
      <c r="B49" s="11">
        <f t="shared" ref="B49" si="14">avail_s_per_shift*B48</f>
        <v>27360</v>
      </c>
    </row>
    <row r="50" spans="1:2" x14ac:dyDescent="0.3">
      <c r="A50" s="20" t="s">
        <v>10</v>
      </c>
      <c r="B50" s="11">
        <f t="shared" ref="B50" si="15">MAX(0,B49-B40*B42)</f>
        <v>2360</v>
      </c>
    </row>
    <row r="51" spans="1:2" x14ac:dyDescent="0.3">
      <c r="A51" s="14" t="s">
        <v>15</v>
      </c>
      <c r="B51" s="11"/>
    </row>
    <row r="52" spans="1:2" x14ac:dyDescent="0.3">
      <c r="A52" s="20" t="s">
        <v>106</v>
      </c>
      <c r="B52" s="12">
        <v>20</v>
      </c>
    </row>
    <row r="53" spans="1:2" x14ac:dyDescent="0.3">
      <c r="A53" s="20" t="s">
        <v>36</v>
      </c>
      <c r="B53" s="12">
        <v>15</v>
      </c>
    </row>
    <row r="54" spans="1:2" x14ac:dyDescent="0.3">
      <c r="A54" s="20" t="s">
        <v>105</v>
      </c>
      <c r="B54" s="9">
        <f>AVERAGE(B52:B53)</f>
        <v>17.5</v>
      </c>
    </row>
    <row r="55" spans="1:2" x14ac:dyDescent="0.3">
      <c r="A55" s="20" t="s">
        <v>83</v>
      </c>
      <c r="B55" s="11">
        <f t="shared" ref="B55" si="16">ROUNDDOWN(MAX(0,B50/(B54*60)),0)</f>
        <v>2</v>
      </c>
    </row>
    <row r="56" spans="1:2" x14ac:dyDescent="0.3">
      <c r="A56" s="20" t="s">
        <v>45</v>
      </c>
      <c r="B56" s="9">
        <f t="shared" ref="B56" si="17">ROUNDUP(B40/B55/tiles_per_case,0)</f>
        <v>105</v>
      </c>
    </row>
    <row r="57" spans="1:2" x14ac:dyDescent="0.3">
      <c r="A57" s="20" t="s">
        <v>42</v>
      </c>
      <c r="B57" s="11">
        <f t="shared" ref="B57" si="18">tiles_per_case*B56</f>
        <v>2520</v>
      </c>
    </row>
    <row r="58" spans="1:2" x14ac:dyDescent="0.3">
      <c r="A58" s="20" t="s">
        <v>46</v>
      </c>
      <c r="B58" s="11">
        <f t="shared" ref="B58" si="19">B54+B57*B42/60</f>
        <v>227.5</v>
      </c>
    </row>
    <row r="59" spans="1:2" x14ac:dyDescent="0.3">
      <c r="A59" s="20" t="s">
        <v>56</v>
      </c>
      <c r="B59" s="21">
        <f t="shared" ref="B59" si="20">B14/B55</f>
        <v>20</v>
      </c>
    </row>
    <row r="60" spans="1:2" x14ac:dyDescent="0.3">
      <c r="A60" s="20" t="s">
        <v>57</v>
      </c>
      <c r="B60" s="41">
        <f t="shared" ref="B60" si="21">B28*B38/B20</f>
        <v>24</v>
      </c>
    </row>
    <row r="61" spans="1:2" x14ac:dyDescent="0.3">
      <c r="A61" s="14" t="s">
        <v>32</v>
      </c>
      <c r="B61" s="23" t="str">
        <f t="shared" ref="B61" si="22">IF(ISERROR(B59),"Problem!",IF(B60&lt;B59, "Problem!", "OK"))</f>
        <v>OK</v>
      </c>
    </row>
    <row r="62" spans="1:2" x14ac:dyDescent="0.3">
      <c r="A62" s="14" t="s">
        <v>34</v>
      </c>
      <c r="B62" s="11">
        <f t="shared" ref="B62" si="23">B40*tile_mass_g/1000</f>
        <v>1875</v>
      </c>
    </row>
    <row r="63" spans="1:2" x14ac:dyDescent="0.3">
      <c r="A63" s="20" t="s">
        <v>37</v>
      </c>
      <c r="B63" s="11">
        <f t="shared" ref="B63" si="24">B38*B62</f>
        <v>22500</v>
      </c>
    </row>
    <row r="64" spans="1:2" x14ac:dyDescent="0.3">
      <c r="A64" s="14"/>
      <c r="B64" s="16"/>
    </row>
    <row r="65" spans="1:2" x14ac:dyDescent="0.3">
      <c r="A65" s="36" t="s">
        <v>47</v>
      </c>
      <c r="B65" s="39" t="s">
        <v>48</v>
      </c>
    </row>
    <row r="66" spans="1:2" x14ac:dyDescent="0.3">
      <c r="A66" s="14" t="s">
        <v>59</v>
      </c>
      <c r="B66" s="22">
        <v>1</v>
      </c>
    </row>
    <row r="67" spans="1:2" x14ac:dyDescent="0.3">
      <c r="A67" s="14" t="s">
        <v>38</v>
      </c>
      <c r="B67" s="22">
        <v>4</v>
      </c>
    </row>
    <row r="68" spans="1:2" x14ac:dyDescent="0.3">
      <c r="A68" s="14" t="s">
        <v>107</v>
      </c>
      <c r="B68" s="40">
        <v>0.95</v>
      </c>
    </row>
    <row r="69" spans="1:2" x14ac:dyDescent="0.3">
      <c r="A69" s="3" t="s">
        <v>75</v>
      </c>
      <c r="B69" s="4">
        <v>1500</v>
      </c>
    </row>
    <row r="70" spans="1:2" x14ac:dyDescent="0.3">
      <c r="A70" s="3" t="s">
        <v>76</v>
      </c>
      <c r="B70" s="40">
        <v>0.67</v>
      </c>
    </row>
    <row r="71" spans="1:2" x14ac:dyDescent="0.3">
      <c r="A71" s="3" t="s">
        <v>78</v>
      </c>
      <c r="B71" s="17">
        <f>B66*B67*B69*B73*(1-B70)*(8-B75*B76)</f>
        <v>7424.9999999999982</v>
      </c>
    </row>
    <row r="72" spans="1:2" x14ac:dyDescent="0.3">
      <c r="A72" s="3" t="s">
        <v>109</v>
      </c>
      <c r="B72" s="17">
        <f>B71/(B73*B67*(8-B75*B76))</f>
        <v>494.99999999999989</v>
      </c>
    </row>
    <row r="73" spans="1:2" x14ac:dyDescent="0.3">
      <c r="A73" s="3" t="s">
        <v>49</v>
      </c>
      <c r="B73" s="25">
        <f t="shared" ref="B73" si="25">B63/B67/(B66*B69)/(8-B75*B76)</f>
        <v>0.625</v>
      </c>
    </row>
    <row r="74" spans="1:2" x14ac:dyDescent="0.3">
      <c r="A74" s="14" t="s">
        <v>32</v>
      </c>
      <c r="B74" s="23" t="str">
        <f>IF(ISERROR(B73),"Problem!",IF(B68&lt;B73, "Problem!", "OK"))</f>
        <v>OK</v>
      </c>
    </row>
    <row r="75" spans="1:2" x14ac:dyDescent="0.3">
      <c r="A75" s="3" t="s">
        <v>108</v>
      </c>
      <c r="B75" s="22">
        <v>1</v>
      </c>
    </row>
    <row r="76" spans="1:2" x14ac:dyDescent="0.3">
      <c r="A76" s="3" t="s">
        <v>31</v>
      </c>
      <c r="B76" s="12">
        <v>2</v>
      </c>
    </row>
    <row r="77" spans="1:2" x14ac:dyDescent="0.3">
      <c r="A77" s="3"/>
      <c r="B77" s="8"/>
    </row>
    <row r="78" spans="1:2" x14ac:dyDescent="0.3">
      <c r="A78" s="3"/>
      <c r="B78" s="8"/>
    </row>
    <row r="79" spans="1:2" x14ac:dyDescent="0.3">
      <c r="A79" s="3"/>
      <c r="B79" s="17"/>
    </row>
    <row r="80" spans="1:2" x14ac:dyDescent="0.3">
      <c r="A80" s="3"/>
      <c r="B80" s="8"/>
    </row>
    <row r="95" spans="1:2" x14ac:dyDescent="0.3">
      <c r="A95" s="3"/>
      <c r="B95" s="5"/>
    </row>
    <row r="96" spans="1:2" x14ac:dyDescent="0.3">
      <c r="B96" s="4"/>
    </row>
    <row r="97" spans="1:2" x14ac:dyDescent="0.3">
      <c r="B97" s="4"/>
    </row>
    <row r="106" spans="1:2" x14ac:dyDescent="0.3">
      <c r="A106" s="3"/>
      <c r="B106" s="4"/>
    </row>
    <row r="107" spans="1:2" x14ac:dyDescent="0.3">
      <c r="A107" s="3"/>
      <c r="B107" s="4"/>
    </row>
    <row r="108" spans="1:2" x14ac:dyDescent="0.3">
      <c r="A108" s="3"/>
      <c r="B108" s="5"/>
    </row>
    <row r="109" spans="1:2" x14ac:dyDescent="0.3">
      <c r="A109" s="3"/>
      <c r="B109" s="5"/>
    </row>
    <row r="110" spans="1:2" x14ac:dyDescent="0.3">
      <c r="A110" s="3"/>
      <c r="B110" s="5"/>
    </row>
    <row r="111" spans="1:2" x14ac:dyDescent="0.3">
      <c r="A111" s="3"/>
      <c r="B111" s="4"/>
    </row>
    <row r="112" spans="1:2" x14ac:dyDescent="0.3">
      <c r="A112" s="3"/>
      <c r="B112" s="5"/>
    </row>
    <row r="113" spans="1:2" x14ac:dyDescent="0.3">
      <c r="A113" s="3"/>
      <c r="B113" s="5"/>
    </row>
    <row r="114" spans="1:2" x14ac:dyDescent="0.3">
      <c r="A114" s="3"/>
      <c r="B114" s="5"/>
    </row>
    <row r="115" spans="1:2" x14ac:dyDescent="0.3">
      <c r="A115" s="3"/>
      <c r="B115" s="4"/>
    </row>
    <row r="116" spans="1:2" x14ac:dyDescent="0.3">
      <c r="A116" s="3"/>
      <c r="B116" s="5"/>
    </row>
    <row r="117" spans="1:2" x14ac:dyDescent="0.3">
      <c r="A117" s="3"/>
      <c r="B117" s="5"/>
    </row>
    <row r="120" spans="1:2" x14ac:dyDescent="0.3">
      <c r="A120" s="3"/>
    </row>
    <row r="121" spans="1:2" x14ac:dyDescent="0.3">
      <c r="A121" s="3"/>
      <c r="B121" s="2"/>
    </row>
    <row r="122" spans="1:2" x14ac:dyDescent="0.3">
      <c r="A122" s="3"/>
    </row>
    <row r="125" spans="1:2" x14ac:dyDescent="0.3">
      <c r="A125" s="3"/>
    </row>
    <row r="126" spans="1:2" x14ac:dyDescent="0.3">
      <c r="A126" s="3"/>
    </row>
    <row r="128" spans="1:2" x14ac:dyDescent="0.3">
      <c r="B128" s="1"/>
    </row>
  </sheetData>
  <conditionalFormatting sqref="B29 B61">
    <cfRule type="expression" dxfId="4" priority="26">
      <formula>IF(B29="OK",TRUE,FALSE)</formula>
    </cfRule>
  </conditionalFormatting>
  <conditionalFormatting sqref="B35">
    <cfRule type="expression" dxfId="3" priority="2">
      <formula>IF(B35="OK",TRUE,FALSE)</formula>
    </cfRule>
  </conditionalFormatting>
  <conditionalFormatting sqref="B73">
    <cfRule type="cellIs" dxfId="2" priority="12" operator="greaterThan">
      <formula>1</formula>
    </cfRule>
  </conditionalFormatting>
  <conditionalFormatting sqref="B74">
    <cfRule type="expression" dxfId="1" priority="1">
      <formula>IF(B74="OK",TRUE,FALSE)</formula>
    </cfRule>
  </conditionalFormatting>
  <conditionalFormatting sqref="B76">
    <cfRule type="expression" dxfId="0" priority="13">
      <formula>IF(B$76=$B$76,FALSE,TRUE)</formula>
    </cfRule>
  </conditionalFormatting>
  <dataValidations count="2">
    <dataValidation type="list" allowBlank="1" showInputMessage="1" showErrorMessage="1" sqref="A44" xr:uid="{C20257C7-C19C-4D93-B781-51D04C8EA055}">
      <formula1>FS_Options</formula1>
    </dataValidation>
    <dataValidation type="decimal" allowBlank="1" showInputMessage="1" showErrorMessage="1" sqref="B76" xr:uid="{C6B2860E-6431-4989-9427-D7E7EEADC8E9}">
      <formula1>1</formula1>
      <formula2>100000000000000000000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61fb61-fb74-4f4e-8b3d-c703c5d529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9708E24AC0D047A6F1C080991EEE22" ma:contentTypeVersion="15" ma:contentTypeDescription="Create a new document." ma:contentTypeScope="" ma:versionID="5ee6c1d8572fd4a459afd406fde88223">
  <xsd:schema xmlns:xsd="http://www.w3.org/2001/XMLSchema" xmlns:xs="http://www.w3.org/2001/XMLSchema" xmlns:p="http://schemas.microsoft.com/office/2006/metadata/properties" xmlns:ns3="1a61fb61-fb74-4f4e-8b3d-c703c5d529b9" xmlns:ns4="bfce32f1-d1a7-432c-a15b-9c83bde3e2d8" targetNamespace="http://schemas.microsoft.com/office/2006/metadata/properties" ma:root="true" ma:fieldsID="92a22939cd73402f49c4435f49c26395" ns3:_="" ns4:_="">
    <xsd:import namespace="1a61fb61-fb74-4f4e-8b3d-c703c5d529b9"/>
    <xsd:import namespace="bfce32f1-d1a7-432c-a15b-9c83bde3e2d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fb61-fb74-4f4e-8b3d-c703c5d529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ce32f1-d1a7-432c-a15b-9c83bde3e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646429-96B0-4BE2-B0E1-35FD634E798F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bfce32f1-d1a7-432c-a15b-9c83bde3e2d8"/>
    <ds:schemaRef ds:uri="1a61fb61-fb74-4f4e-8b3d-c703c5d529b9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EF47972-C1C0-428E-B42A-5728529171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D8E344-F188-41C0-9CC1-EDE7D18FA9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61fb61-fb74-4f4e-8b3d-c703c5d529b9"/>
    <ds:schemaRef ds:uri="bfce32f1-d1a7-432c-a15b-9c83bde3e2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Parameters</vt:lpstr>
      <vt:lpstr>options</vt:lpstr>
      <vt:lpstr>avail_s_per_shift</vt:lpstr>
      <vt:lpstr>clay_bodies</vt:lpstr>
      <vt:lpstr>glazes</vt:lpstr>
      <vt:lpstr>GranuleSiloCap</vt:lpstr>
      <vt:lpstr>gross_case_mass_kg</vt:lpstr>
      <vt:lpstr>product_variations</vt:lpstr>
      <vt:lpstr>tile_mass_g</vt:lpstr>
      <vt:lpstr>tile_styles</vt:lpstr>
      <vt:lpstr>tiles_per_case</vt:lpstr>
      <vt:lpstr>truck_ship_MT</vt:lpstr>
      <vt:lpstr>work_weeks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Mort</dc:creator>
  <cp:lastModifiedBy>Paul R Mort</cp:lastModifiedBy>
  <dcterms:created xsi:type="dcterms:W3CDTF">2020-03-15T15:33:59Z</dcterms:created>
  <dcterms:modified xsi:type="dcterms:W3CDTF">2026-03-30T01:54:43Z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0x010100B59708E24AC0D047A6F1C080991EEE22</vt:lpwstr>
  </property>
</Properties>
</file>